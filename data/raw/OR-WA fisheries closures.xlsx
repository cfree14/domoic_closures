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MFC_DungCrab" sheetId="1" r:id="rId5"/>
    <sheet state="visible" name="ODFW_Crabs" sheetId="2" r:id="rId6"/>
    <sheet state="visible" name="ODA_RazorClam" sheetId="3" r:id="rId7"/>
    <sheet state="visible" name="ODA_Mussels" sheetId="4" r:id="rId8"/>
    <sheet state="visible" name="ODA_Crabs" sheetId="5" r:id="rId9"/>
    <sheet state="visible" name="metadata" sheetId="6" r:id="rId10"/>
    <sheet state="visible" name="landmarks and SMA" sheetId="7" r:id="rId11"/>
  </sheets>
  <definedNames>
    <definedName hidden="1" localSheetId="0" name="Z_87C4948F_DD0D_467D_BC7D_4ADD2092F08A_.wvu.FilterData">PSMFC_DungCrab!$A$1:$AN$1036</definedName>
  </definedNames>
  <calcPr/>
  <customWorkbookViews>
    <customWorkbookView activeSheetId="0" maximized="1" windowHeight="0" windowWidth="0" guid="{87C4948F-DD0D-467D-BC7D-4ADD2092F08A}"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tc={5216c1cc-6d0d-4d27-9ce3-2622e3d3d341}</author>
    <author>tc={8a4167b7-6016-4c86-9b33-5a663f415bc4}</author>
  </authors>
  <commentList>
    <comment authorId="0" xr:uid="{5216c1cc-6d0d-4d27-9ce3-2622e3d3d341}" ref="G31">
      <text>
        <t xml:space="preserve">[Threaded comment]
 Your version of Excel allows you to read this threaded comment; however, any edits to it will get removed if the file is opened in a newer version of Excel. Learn more: https://go.microsoft.com/fwlink/?linkid=870924
Comment:
	does not say a specific date of when it will open
</t>
      </text>
    </comment>
    <comment authorId="1" xr:uid="{8a4167b7-6016-4c86-9b33-5a663f415bc4}" ref="F154">
      <text>
        <t xml:space="preserve">[Threaded comment]
 Your version of Excel allows you to read this threaded comment; however, any edits to it will get removed if the file is opened in a newer version of Excel. Learn more: https://go.microsoft.com/fwlink/?linkid=870924
Comment:
	include tribal?
</t>
      </text>
    </comment>
  </commentList>
</comments>
</file>

<file path=xl/sharedStrings.xml><?xml version="1.0" encoding="utf-8"?>
<sst xmlns="http://schemas.openxmlformats.org/spreadsheetml/2006/main" count="4615" uniqueCount="635">
  <si>
    <t>Release date</t>
  </si>
  <si>
    <t>Department</t>
  </si>
  <si>
    <t>Year</t>
  </si>
  <si>
    <t>Date</t>
  </si>
  <si>
    <t>Species (parts)</t>
  </si>
  <si>
    <t>Fishery type</t>
  </si>
  <si>
    <t>Action (close/open)</t>
  </si>
  <si>
    <t>base on assumption</t>
  </si>
  <si>
    <t>Reason</t>
  </si>
  <si>
    <t>Type of Action</t>
  </si>
  <si>
    <t>Where</t>
  </si>
  <si>
    <t>S. Latitude (°N)</t>
  </si>
  <si>
    <t>N. Latitude (°N)</t>
  </si>
  <si>
    <t>Source</t>
  </si>
  <si>
    <t>Link</t>
  </si>
  <si>
    <t>Notes</t>
  </si>
  <si>
    <t>ODFW</t>
  </si>
  <si>
    <t>Dungeness Crab</t>
  </si>
  <si>
    <t>commercial</t>
  </si>
  <si>
    <t>close</t>
  </si>
  <si>
    <t>body condition</t>
  </si>
  <si>
    <t>closure</t>
  </si>
  <si>
    <t>Cape Falcon to OR-WA border</t>
  </si>
  <si>
    <t>PSMFC</t>
  </si>
  <si>
    <t>http://www.psmfc.org/crab/2004CrabRevisedOpenerNotice12804.pdf</t>
  </si>
  <si>
    <t>WDFW</t>
  </si>
  <si>
    <t>OR-WA border to WA-Canada border</t>
  </si>
  <si>
    <t>http://www.psmfc.org/crab/120804DelayedOpeningDate.pdf</t>
  </si>
  <si>
    <t>open</t>
  </si>
  <si>
    <t>http://www.psmfc.org/crab/CrabThirdOpenerNotice122104.pdf</t>
  </si>
  <si>
    <t>https://www.psmfc.org/crab/2008-2009%20files/WA_buyback_09.pdf</t>
  </si>
  <si>
    <t>Retrived from Buy-back program document, Table1</t>
  </si>
  <si>
    <t>Point Arena CA to WA-Canada border</t>
  </si>
  <si>
    <t>http://www.psmfc.org/crab/2005-2006%20files/WA_Notice%20to%20Fishers%20Processors%20Nov%20Test%20Results.pdf</t>
  </si>
  <si>
    <t>http://www.psmfc.org/crab/2005-2006%20files/Notice%20to%20Fishers%20and%20Processors%20opening%20info.pdf</t>
  </si>
  <si>
    <t>head-start</t>
  </si>
  <si>
    <t>Destruction Island to Sand Point</t>
  </si>
  <si>
    <t>yes</t>
  </si>
  <si>
    <t>OR</t>
  </si>
  <si>
    <t>http://www.psmfc.org/crab/2006-2007%20files/2006-07%20season%20mailing%2011%2022%2006%20FINAL.pdf</t>
  </si>
  <si>
    <t>gear reduction</t>
  </si>
  <si>
    <t>OR-WA border to Klipsan Beach</t>
  </si>
  <si>
    <t>http://www.psmfc.org/crab/2006-2007%20files/WA%20Nov%2022%202006%20ltr.pdf</t>
  </si>
  <si>
    <t>Kalipsan Beach to Destruction Island</t>
  </si>
  <si>
    <r>
      <rPr>
        <sz val="10.0"/>
      </rPr>
      <t xml:space="preserve">Date based on news release from the following season: </t>
    </r>
    <r>
      <rPr>
        <color rgb="FF1155CC"/>
        <sz val="10.0"/>
        <u/>
      </rPr>
      <t>http://www.psmfc.org/crab/2007-2008%20files/Ltr%20to%20Fishers_12_20_07.pdf</t>
    </r>
    <r>
      <rPr>
        <sz val="10.0"/>
      </rPr>
      <t xml:space="preserve">                                                                                                               </t>
    </r>
  </si>
  <si>
    <t>This area has a SMA that is closed to state fishers</t>
  </si>
  <si>
    <t>Sands Point to US-Canada border</t>
  </si>
  <si>
    <t>Assuming that gear reduction is removed once the area north of Klipsan beach is open</t>
  </si>
  <si>
    <t>CDFG</t>
  </si>
  <si>
    <t>commercial/recreational</t>
  </si>
  <si>
    <t>oil spill</t>
  </si>
  <si>
    <t>San Pedro Point to Point Reyes Lighthouse</t>
  </si>
  <si>
    <t>http://www.psmfc.org/crab/2007-2008%20files/DFG%20Defines%20San%20Francisco%20Bay%20Fishing%20Closure%20Zones.pdf</t>
  </si>
  <si>
    <t>San Francisco Bay, west of the Carquinez Bridge WHEN DID IT OPEN??</t>
  </si>
  <si>
    <t>Scheduled to open Dec 1st or some other time</t>
  </si>
  <si>
    <t>http://www.psmfc.org/crab/2007-2008%20files/WA%20Letter%20to%20Fishers%20Nov%2021%202007.pdf</t>
  </si>
  <si>
    <t>http://www.psmfc.org/crab/2007-2008%20files/Ltr%20to%20Fishers_12_20_07.pdf</t>
  </si>
  <si>
    <t>CDFW</t>
  </si>
  <si>
    <t>Mendocino to Del Norte</t>
  </si>
  <si>
    <t>http://www.psmfc.org/crab/2007-2008%20files/CA%20Pre-Soak2007.pdf</t>
  </si>
  <si>
    <t>Destruction Island to WA-Canada Border</t>
  </si>
  <si>
    <t xml:space="preserve"> Different date presented in table 1 of buyback report:  https://www.psmfc.org/crab/2008-2009%20files/WA_buyback_09.pdf       </t>
  </si>
  <si>
    <t>SMA</t>
  </si>
  <si>
    <t>Quinault SMA, Copalis River to Raft River</t>
  </si>
  <si>
    <t>Quinault SMA, Point Grenville to Raft River</t>
  </si>
  <si>
    <t>Quinault  Secondary SMA, Copalis River to Point Grenville</t>
  </si>
  <si>
    <t>Area closed to state fishers from the time that the PSMA closure ends until QIN has harvest 50% of the annual catch projection within the 60A-1 catch reporting area</t>
  </si>
  <si>
    <t>Quinault Second SSMA, Point Grenville to Split Rock</t>
  </si>
  <si>
    <t>Area closed to state fishers from the time that the PSMA closure ends until QIN has harvest 50% of the annual catch projection within the 59A-2 catch reporting area</t>
  </si>
  <si>
    <t>Quileute SMA, Destruction Island to Cape Johnson</t>
  </si>
  <si>
    <t>Makah SMA</t>
  </si>
  <si>
    <t>http://www.psmfc.org/crab/2008-2009%20files/wa_Letter%20to%20Fishers_November%2024%2008.pdf</t>
  </si>
  <si>
    <t>http://www.psmfc.org/crab/2008-2009%20files/WA_Final_letter%20to%20fisher%2012-23-08.pdf</t>
  </si>
  <si>
    <t>Klipsan Beach to Destruction Island</t>
  </si>
  <si>
    <t>http://www.psmfc.org/crab/2008-2009%20files/2008-2009_January%208%202008%20letter%20to%20fishers.pdf</t>
  </si>
  <si>
    <t>100 pot limits</t>
  </si>
  <si>
    <t>Quinault Secondary SMA, Copalis River to Point Grenville</t>
  </si>
  <si>
    <t>Quinault Second Secondary SMA, Point Grenville to Split Rock</t>
  </si>
  <si>
    <t>http://www.psmfc.org/crab/2008-2009%20files/2008-2009%20Industry%20Notice_Quileute%20SMA%20opener.pdf</t>
  </si>
  <si>
    <t>http://www.psmfc.org/crab/2008-2009%20files/2008-2009_Industry%20Notice%20Makah%20SMA%20registration.pdf</t>
  </si>
  <si>
    <t>From split rock to raft river</t>
  </si>
  <si>
    <t>http://www.psmfc.org/crab/2008-2009%20files/Industry%20Notice_Raft%20River%20to%20Split%20Rock%206%2009.pdf</t>
  </si>
  <si>
    <t>Part of the Quinault SMA is open to state fishers</t>
  </si>
  <si>
    <t>http://www.psmfc.org/crab/2009-2010%20files/letter%20to%20fishers%2012%2018%2009_FINAL.pdf</t>
  </si>
  <si>
    <t>http://www.psmfc.org/crab/2009-2010%20files/WA%20Industry%20Notice.01.08.10.pdf</t>
  </si>
  <si>
    <t>Split Rock to Raft River</t>
  </si>
  <si>
    <t>this area open to state fishres with pot limits</t>
  </si>
  <si>
    <t>Quinault Secondary SMA, Copalis River to Split Rock</t>
  </si>
  <si>
    <t>http://www.psmfc.org/crab/2010-2011%20Files/WA_letter_to_fishers_12_06_10_FINAL.pdf</t>
  </si>
  <si>
    <t>No info available of pot limits if any</t>
  </si>
  <si>
    <t>it does not specify when the gear reduction is removed but we are assuming is when the area north to Klipsan beach opens</t>
  </si>
  <si>
    <t>This portion of the Quinault SMA keeps closed to state fishers</t>
  </si>
  <si>
    <t>http://www.psmfc.org/crab/2010-2011%20Files/Industry_Notice_Quileute_SMA04272011.pdf</t>
  </si>
  <si>
    <t>OR, from Rogue River to Cape Blanco</t>
  </si>
  <si>
    <t>http://www.psmfc.org/crab/2010-2011%20Files/OR_2010_Closure_Notice_12_10_10.pdf</t>
  </si>
  <si>
    <t>In season closure. Does not specify why</t>
  </si>
  <si>
    <t>http://www.psmfc.org/crab/2011-2012%20files/CA_Jan15_opener.pdf</t>
  </si>
  <si>
    <t>http://www.psmfc.org/crab/2011-2012%20files/ODFW%20season_delay%20notice_111011.pdf</t>
  </si>
  <si>
    <t>North OR, from near Gold Beach to OR-WA border</t>
  </si>
  <si>
    <t>http://www.psmfc.org/crab/2011-2012%20files/WA_letter_12082011.pdf</t>
  </si>
  <si>
    <t>South OR, from OR-CA border to near Gold Beach</t>
  </si>
  <si>
    <t>http://www.psmfc.org/crab/2011-2012%20files/WA_111011.pdf</t>
  </si>
  <si>
    <t>Camila</t>
  </si>
  <si>
    <t>http://www.psmfc.org/crab/2011-2012%20files/ODFW_letter_01062012.pdf</t>
  </si>
  <si>
    <t>http://www.psmfc.org/crab/2011-2012%20files/WA_051412.pdf</t>
  </si>
  <si>
    <t>dcument says the gear redustion is remove after 30 days that the area opens to state fisheries.</t>
  </si>
  <si>
    <t>CA, OR, WA</t>
  </si>
  <si>
    <t>http://www.psmfc.org/crab/2012-2013%20files/WA_seasondelay.pdf</t>
  </si>
  <si>
    <t>http://www.psmfc.org/crab/2012-2013%20files/OR_opener2013.pdf</t>
  </si>
  <si>
    <t>http://www.psmfc.org/crab/2012-2013%20files/Ca_3rd_delay_notice.pdf</t>
  </si>
  <si>
    <t>http://www.psmfc.org/crab/2012-2013%20files/WA_opening2013.pdf</t>
  </si>
  <si>
    <t>http://www.psmfc.org/crab/2012-2013%20files/WA_notice12212012.pdf</t>
  </si>
  <si>
    <t>chris changed these to body condition delay</t>
  </si>
  <si>
    <t>http://www.psmfc.org/crab/2012-2013%20files/WA_01102013.pdf</t>
  </si>
  <si>
    <t>if the 20 fishable days criterias have been met; chris changed these to body condition delay</t>
  </si>
  <si>
    <t>summer extension</t>
  </si>
  <si>
    <t>http://www.psmfc.org/crab/2012-2013%20files/CA_crab_extension_2013.pdf</t>
  </si>
  <si>
    <t>OR, WA</t>
  </si>
  <si>
    <t>https://wdfw.wa.gov/sites/default/files/fishing/commercial/crab/coastal/2013/notice_22nov13.pdf</t>
  </si>
  <si>
    <t>OR to Klipsan Beach WA</t>
  </si>
  <si>
    <t>https://wdfw.wa.gov/sites/default/files/fishing/commercial/crab/coastal/letters/letter_dec05_2013.pdf</t>
  </si>
  <si>
    <t>Klipsan Beach to WA-Canada border</t>
  </si>
  <si>
    <t>https://wdfw.wa.gov/sites/default/files/fishing/commercial/crab/coastal/letters/letter_dec27_2013.pdf</t>
  </si>
  <si>
    <t>chris changed from head-start to body condition</t>
  </si>
  <si>
    <t>Point Arena CA, OR to Klipsan beach WA</t>
  </si>
  <si>
    <t>http://www.psmfc.org/crab/2014-2015%20files/2014Dec1OpenerIndustryNotice.pdf</t>
  </si>
  <si>
    <t>http://www.psmfc.org/crab/2014-2015%20files/WA_11222014LTF.pdf</t>
  </si>
  <si>
    <t>http://www.psmfc.org/crab/2014-2015%20files/WA_12022014LTF.pdf</t>
  </si>
  <si>
    <t>http://www.psmfc.org/crab/2014-2015%20files/WANorthofDI01092015.pdf</t>
  </si>
  <si>
    <t>http://www.psmfc.org/crab/2014-2015%20files/WA_02112015.pdf</t>
  </si>
  <si>
    <t>domoic acid</t>
  </si>
  <si>
    <t>OR-WA border to Point Chehalis, including Clumbia River and Willapa River</t>
  </si>
  <si>
    <t>http://www.psmfc.org/crab/2014-2015%20files/IndustryNoticeDomoicAcidClosure.pdf</t>
  </si>
  <si>
    <t>Point Chehalis to the Queets river</t>
  </si>
  <si>
    <t>http://www.psmfc.org/crab/2014-2015%20files/WA_08032015.pdf</t>
  </si>
  <si>
    <t>Point Chehalis to WA-Canada Border</t>
  </si>
  <si>
    <t>http://www.psmfc.org/crab/2014-2015%20files/WA_08282015.PDF</t>
  </si>
  <si>
    <t>CA-OR border to Destruction Island</t>
  </si>
  <si>
    <t>https://wdfw.wa.gov/sites/default/files/fishing/commercial/crab/coastal/letters/letter_nov2415.pdf</t>
  </si>
  <si>
    <t>https://wdfw.wa.gov/sites/default/files/fishing/commercial/crab/coastal/letters/letter_dec21_2015.pdf</t>
  </si>
  <si>
    <t>https://wdfw.wa.gov/sites/default/files/fishing/commercial/crab/coastal/2016/notice_26jan16.pdf</t>
  </si>
  <si>
    <t>recreational</t>
  </si>
  <si>
    <t>CA-OR border to Tillamook Head OR</t>
  </si>
  <si>
    <t>http://www.psmfc.org/crab/2016-2017%20files/Recreational%20crabbing%20closed%20from%20Tillamook%20Head%20to%20California%20border.pdf</t>
  </si>
  <si>
    <t>This includes Dungeness and red rock crab harvested in bays and
estuaries, off docks, piers, jetties, and the ocean.</t>
  </si>
  <si>
    <t>http://www.psmfc.org/crab/2016-2017%20files/OR_11222016.pdf</t>
  </si>
  <si>
    <t>http://www.psmfc.org/crab/2016-2017%20files/WA_11222016.pdf</t>
  </si>
  <si>
    <t>http://www.psmfc.org/crab/2016-2017%20files/January%207%20opening%20coast%20wide.pdf</t>
  </si>
  <si>
    <t>CA-OR border to Cape Blanco</t>
  </si>
  <si>
    <t>http://www.psmfc.org/crab/2016-2017%20files/IndustryNotice_120916.pdf</t>
  </si>
  <si>
    <t>Cape Blanco to OR-WA border</t>
  </si>
  <si>
    <t>http://www.psmfc.org/crab/2016-2017%20files/IndustryNoticeNorthOpener_122116.pdf</t>
  </si>
  <si>
    <t>Cape Blanco, OR to Klipsan Beach, WA</t>
  </si>
  <si>
    <t>http://www.psmfc.org/crab/2016-2017%20files/WA_openJan.pdf</t>
  </si>
  <si>
    <t>Klipsan Beach to Queets River</t>
  </si>
  <si>
    <t xml:space="preserve">Reason not clear. domoic acid and/or head-start? </t>
  </si>
  <si>
    <t>Queets River to WA-Canada Border</t>
  </si>
  <si>
    <t>http://www.psmfc.org/crab/2016-2017%20files/Industry%20Notice.%20North%20of%20Queets%20Open.2017.FINAL.pdf</t>
  </si>
  <si>
    <t>http://www.psmfc.org/crab/2016-2017%20files/Industry%20Notice.02.10.17.Makah%20SMA.pdf</t>
  </si>
  <si>
    <t>Coos Bay North Jetty to Heceta Head</t>
  </si>
  <si>
    <t>http://www.psmfc.org/crab/2016-2017%20files/CrabIndustryNotice%20020217.pdf</t>
  </si>
  <si>
    <r>
      <rPr>
        <sz val="10.0"/>
      </rPr>
      <t xml:space="preserve">Effective for al crabs. Here specifies recreational </t>
    </r>
    <r>
      <rPr>
        <color rgb="FF1155CC"/>
        <sz val="10.0"/>
        <u/>
      </rPr>
      <t>http://www.psmfc.org/crab/2016-2017%20files/170202crab_closure.pdf</t>
    </r>
  </si>
  <si>
    <t>evisceration order</t>
  </si>
  <si>
    <t>http://www.psmfc.org/crab/2016-2017%20files/CrabIndustryNotice%20020817.PDF</t>
  </si>
  <si>
    <t>http://www.psmfc.org/crab/2016-2017%20files/CrabIndustryNotice%20021017%20FINAL.PDF</t>
  </si>
  <si>
    <t>WA</t>
  </si>
  <si>
    <t>http://www.psmfc.org/crab/2017-2018%20files/Industry%20Notice%2011.17.17.FINAL.pdf</t>
  </si>
  <si>
    <t>http://www.psmfc.org/crab/2017-2018%20files/2017-18_1DECDELAY_DCRAB_NORTHOPENER.pdf</t>
  </si>
  <si>
    <t>body condition/biotoxin</t>
  </si>
  <si>
    <t>http://www.psmfc.org/crab/2017-2018%20files/171122shellfish.pdf</t>
  </si>
  <si>
    <t>Same info tha line 215 but is mentions SOME BAY ANS ESTUARIES ARE OPEN. Link has a map with areas</t>
  </si>
  <si>
    <t>Point Arenas to Klipsan Beach</t>
  </si>
  <si>
    <t>http://www.psmfc.org/crab/2017-2018%20files/Industry%20Notice%2012.7.17.FINAL.pdf</t>
  </si>
  <si>
    <t>http://www.psmfc.org/crab/2017-2018%20files/Nof%20Klipsanopener.01.18.FINAL.pdf</t>
  </si>
  <si>
    <t>Chris changed "head-start" to "body condition"</t>
  </si>
  <si>
    <t>http://www.psmfc.org/crab/2017-2018%20files/Industry%20Notice%2003%2022%2018.open%20northen%20portion%20QIN.SMA.pdf</t>
  </si>
  <si>
    <t>Copalis River to Joe Creek</t>
  </si>
  <si>
    <t>http://www.psmfc.org/crab/2017-2018%20files/Industry%20Notice%20QIN%20SMA%20opening_May%202018%20FINAL.pdf</t>
  </si>
  <si>
    <t>Date not specified</t>
  </si>
  <si>
    <t>CA, OR, WA (Point Arena North)</t>
  </si>
  <si>
    <t>http://www.psmfc.org/crab/2018-2019%20Files/Industry%20Notice%2011.14.18%20FINAL.pdf</t>
  </si>
  <si>
    <t>Cape Arago OR to Klipsan Beach WA</t>
  </si>
  <si>
    <t>http://www.psmfc.org/crab/2018-2019%20Files/Industry%20Notice%20S.%20of%20Klipsan%20opening%2012.29.18_final.pdf</t>
  </si>
  <si>
    <t>http://www.psmfc.org/crab/2018-2019%20Files/Industry%20Notice_opening%20north%20of%20DI.2019.FINAL.pdf</t>
  </si>
  <si>
    <t>https://wdfw.wa.gov/sites/default/files/fishing/commercial/crab/coastal/2019/06feb_2019_notice.pdf</t>
  </si>
  <si>
    <t>http://www.psmfc.org/crab/2018-2019%20Files/Crab%20notice%2003072019.pdf</t>
  </si>
  <si>
    <t>https://wdfw.wa.gov/sites/default/files/fishing/commercial/crab/coastal/2019/09jan_2019_notice.pdf</t>
  </si>
  <si>
    <t>Not clear the reason of the delay</t>
  </si>
  <si>
    <t>Joe Creek to Point Grenville</t>
  </si>
  <si>
    <t>http://www.psmfc.org/crab/2018-2019%20Files/Industry%20Notice%204%208%2019.open%20QIN%20SMA%20to%20Pt.%20G.FINAL.pdf</t>
  </si>
  <si>
    <t>http://www.psmfc.org/crab/2018-2019%20Files/Industry%20Notice%2004.29.19.opening%20remaining%20QIN.SMA.and%20QUIL.SMA.FINAL.pdf</t>
  </si>
  <si>
    <t>http://www.psmfc.org/crab/2019%20-2020%20files/Industry%20Notice%2012.6.19%20FINAL.pdf</t>
  </si>
  <si>
    <t>Point Arenas CA to Klipsan Beach, WA</t>
  </si>
  <si>
    <t>http://www.psmfc.org/crab/2019%20-2020%20files/Industry%20Notice%20S.%20of%20Klipsan%20opening%2012.20.19_FINAL.pdf</t>
  </si>
  <si>
    <t>OR- WA border to Klipsan Beach</t>
  </si>
  <si>
    <t>http://www.psmfc.org/crab/2019%20-2020%20files/Industry%20Notice%20N%20of%20Klipsan%20opener.01.09.20.FINAL.pdf</t>
  </si>
  <si>
    <t>https://wdfw.wa.gov/sites/default/files/2020-03/industrynotice031620open_northen_portion_qinsma_.pdf</t>
  </si>
  <si>
    <t>whale entangement</t>
  </si>
  <si>
    <t>33% gear reduction</t>
  </si>
  <si>
    <t>https://www.psmfc.org/crab/2019%20-2020%20files/letter%20to%20license%20holders_Feb%203%202020.pdf</t>
  </si>
  <si>
    <t>https://wdfw.wa.gov/sites/default/files/2020-11/coastal_crab_notice_19november2020.pdf</t>
  </si>
  <si>
    <t>body condition/domoic acid</t>
  </si>
  <si>
    <t>Cape Falcon OR to WA-Canada border</t>
  </si>
  <si>
    <t>https://wdfw.wa.gov/sites/default/files/2020-12/coastal_crab_notice_08dec2020.pdf</t>
  </si>
  <si>
    <t>OR-WA border to WA-Canada Border</t>
  </si>
  <si>
    <t>https://wdfw.wa.gov/sites/default/files/2021-02/coastal_crab_notice_09feb2021.pdf</t>
  </si>
  <si>
    <t>OR-WA border to Point Chehalis</t>
  </si>
  <si>
    <t>http://www.psmfc.org/crab/2020-2021%20files/WA20210209_Industry%20notice.pdf</t>
  </si>
  <si>
    <t>http://www.psmfc.org/crab/2020-2021%20files/WA_Industry%20Notice.03.22.21.Makah%20SMA.pdf</t>
  </si>
  <si>
    <t>http://www.psmfc.org/crab/2020-2021%20files/WA_Industry.Notice.03.30.21.open%20northen%20portion%20QIN.SMA.pdf</t>
  </si>
  <si>
    <t>http://www.psmfc.org/crab/2020-2021%20files/WA_Industry%20Notice%2004.12.21.open.QIN.SMA%20to%20Joe%20Creek_FINAL.pdf</t>
  </si>
  <si>
    <t>Grays Harbor, Area 60B</t>
  </si>
  <si>
    <t>http://www.psmfc.org/crab/2020-2021%20files/WA_Industry.Notice.Season.03.01.21.FINAL.pdf</t>
  </si>
  <si>
    <t>http://www.psmfc.org/crab/2020-2021%20files/WA_Industry.Notice.Season.04.05.21.FINAL.pdf</t>
  </si>
  <si>
    <t>http://www.psmfc.org/crab/2020-2021%20files/WA_Industry.Notice.Season.04.15.21.FINAL.pdf</t>
  </si>
  <si>
    <t>https://www.psmfc.org/crab/2020-2021%20files/WA_industrynoticeorderingsummerbuoy_tags_2021.pdf</t>
  </si>
  <si>
    <t>https://www.psmfc.org/crab/2022-2023%20files/Industry%20Notice_Season%20Delay%202022.pdf</t>
  </si>
  <si>
    <t>https://www.psmfc.org/crab/2022-2023%20files/industry%20notice_season%20delay%2012-7-22.pdf</t>
  </si>
  <si>
    <t>https://www.psmfc.org/crab/2022-2023%20files/industry%20notice_season%20delay%2012-22-22.FINAL.pdf</t>
  </si>
  <si>
    <t xml:space="preserve">Cape Falcon, OR (45⁰46' to Klipsan Beach, WA (46⁰28') </t>
  </si>
  <si>
    <t>https://www.psmfc.org/crab/2022-2023%20files/industry%20notice_season.FEB.1.OPEN.to.Cape.Falcon.%2001.06.23.FINAL.pdf</t>
  </si>
  <si>
    <t>Klipsan Beach, WA to Canada</t>
  </si>
  <si>
    <t>https://www.psmfc.org/crab/2022-2023%20files/Industry%20Notice%20N%20of%20Klipsan%20opener.2022.23.FINAL.pdf</t>
  </si>
  <si>
    <t>https://www.psmfc.org/crab/2022-2023%20files/industrynoticeorderingsummerbuoy_tags_2023.pdf</t>
  </si>
  <si>
    <t>https://www.psmfc.org/crab/2023-2024%20files/Industry%20Notice_Season%20Delay%202023.pdf</t>
  </si>
  <si>
    <t>https://www.psmfc.org/crab/2023-2024%20files/industry%20notice_season%20delay%2012-6-23.pdf</t>
  </si>
  <si>
    <t>https://www.psmfc.org/crab/2023-2024%20files/20231220_WDFW_Crab_Industry_Notice-Season-Delay.pdf</t>
  </si>
  <si>
    <t>Cape Falcon, OR (45⁰46’N) to Klipsan Beach, WA (46⁰28’)</t>
  </si>
  <si>
    <t>https://www.psmfc.org/crab/2023-2024%20files/20240105_Industry_Notice_Season_South_Opener.pdf</t>
  </si>
  <si>
    <t>https://www.psmfc.org/crab/2023-2024%20files/20240118_Industry_Notice_Coastwide%20Opener.pdf</t>
  </si>
  <si>
    <t>https://www.psmfc.org/crab/2023-2024%20files/20240321_Industry_Notice_summer%20buoy%20tags.pdf</t>
  </si>
  <si>
    <t>Point Arena, CA to Canada</t>
  </si>
  <si>
    <t>https://www.psmfc.org/crab/2024-2025%20files/20241121_Industry_Notice_Season_Delay.pdf</t>
  </si>
  <si>
    <t>Cape Falcon, OR to Canada</t>
  </si>
  <si>
    <t>https://www.psmfc.org/crab/2024-2025%20files/20241206_Industry_Notice_Season_Delay.pdf</t>
  </si>
  <si>
    <t>https://www.psmfc.org/crab/2024-2025%20files/20241223_Industry_Notice_Season_Delay.pdf</t>
  </si>
  <si>
    <t>https://www.psmfc.org/crab/2024-2025%20files/20250108_Industry_Notice_Season_Opener_South_of_Klipsan.pdf</t>
  </si>
  <si>
    <t>https://old.psmfc.org/crab/2024-2025%20files/20250127_Industry_Notice_Season_Opener_North_of_Klipsan.pdf</t>
  </si>
  <si>
    <t>https://old.psmfc.org/crab/2024-2025%20files/20250313_Industry_Notice_summer%20buoy%20tags.pdf</t>
  </si>
  <si>
    <t>date not clear</t>
  </si>
  <si>
    <t>Type of action</t>
  </si>
  <si>
    <t>Area</t>
  </si>
  <si>
    <t>Point Arenas CA to Klipsan Beach WA</t>
  </si>
  <si>
    <t>https://www.dfw.state.or.us/news/2010/november/112210b.asp</t>
  </si>
  <si>
    <t>Point Arenas CA to WA-Canada border</t>
  </si>
  <si>
    <t>ocean</t>
  </si>
  <si>
    <t>https://www.dfw.state.or.us/news/2011/november/111011.asp</t>
  </si>
  <si>
    <t>Crabs</t>
  </si>
  <si>
    <t>bay</t>
  </si>
  <si>
    <t>Gold Beach to OR-WA border</t>
  </si>
  <si>
    <t>https://www.dfw.state.or.us/news/2011/december/120811c.asp</t>
  </si>
  <si>
    <t>CA-OR border to north of Gold Beach</t>
  </si>
  <si>
    <t>https://www.dfw.state.or.us/news/2012/January/011212.asp</t>
  </si>
  <si>
    <t>https://www.dfw.state.or.us/news/2012/November/111412.asp</t>
  </si>
  <si>
    <t>https://www.dfw.state.or.us/news/2012/December/121012.asp</t>
  </si>
  <si>
    <t>CA-OR border to Klipsan beach WA</t>
  </si>
  <si>
    <t>https://www.dfw.state.or.us/news/2013/november/112513.asp</t>
  </si>
  <si>
    <t>https://www.dfw.state.or.us/news/2013/december/120513.asp</t>
  </si>
  <si>
    <t>https://www.dfw.state.or.us/news/2015/November/112015.asp</t>
  </si>
  <si>
    <t>CA-OR Border to Haceta Head</t>
  </si>
  <si>
    <t>Haceta Head to OR-WA border</t>
  </si>
  <si>
    <t>https://www.dfw.state.or.us/news/2015/december/122115b.asp</t>
  </si>
  <si>
    <t>ocean, bay</t>
  </si>
  <si>
    <t>CA-OR border to Tillamook Head</t>
  </si>
  <si>
    <t>https://www.dfw.state.or.us/news/2016/11_nov/111816b.asp</t>
  </si>
  <si>
    <t>https://www.dfw.state.or.us/news/2016/11_nov/112216b.asp</t>
  </si>
  <si>
    <t>All crabs, commercial crabbing not just Dungeness</t>
  </si>
  <si>
    <t>Tillamook Head to OR-WA border</t>
  </si>
  <si>
    <t>https://www.dfw.state.or.us/news/2016/12_dec/120216d.asp</t>
  </si>
  <si>
    <t xml:space="preserve">Floras Creek to Tillamook Head </t>
  </si>
  <si>
    <t>Floras creek lat estimated from Google maps</t>
  </si>
  <si>
    <t>CA-OR border to Floras Creek</t>
  </si>
  <si>
    <t>https://www.dfw.state.or.us/news/2016/12_dec/120916.asp</t>
  </si>
  <si>
    <t>Cape Lookout to Tillamook Head</t>
  </si>
  <si>
    <t>Cape Blanco to Winchester Bay</t>
  </si>
  <si>
    <t>https://www.dfw.state.or.us/news/2016/12_dec/121616.asp</t>
  </si>
  <si>
    <r>
      <rPr/>
      <t xml:space="preserve">There is an area along the coast that is still closed. Check out this map for clarifying: </t>
    </r>
    <r>
      <rPr>
        <color rgb="FF1155CC"/>
        <u/>
      </rPr>
      <t>https://www.dfw.state.or.us/news/images/2016/121616_OpenAreas.jpg</t>
    </r>
  </si>
  <si>
    <t>ocean, bay, estuaries</t>
  </si>
  <si>
    <t>https://www.dfw.state.or.us/news/2016/12_dec/122016.asp</t>
  </si>
  <si>
    <t>https://www.dfw.state.or.us/news/2016/12_dec/122116.asp</t>
  </si>
  <si>
    <t>Coos Bay to Haceta Head</t>
  </si>
  <si>
    <t>https://www.dfw.state.or.us/news/2017/02_feb/020117.asp</t>
  </si>
  <si>
    <t>Lat coord from Google Maps. This closure includes Winchester Bay and the Siuslaw River in Florence. Crabbing within Coos Bay remains open.</t>
  </si>
  <si>
    <t>https://www.dfw.state.or.us/news/2017/02_feb/020217b.asp</t>
  </si>
  <si>
    <t xml:space="preserve">Lat coord from Google Maps. </t>
  </si>
  <si>
    <t>https://www.dfw.state.or.us/news/2017/02_feb/021017b.asp</t>
  </si>
  <si>
    <t>CA-OR border to Coquille River</t>
  </si>
  <si>
    <t>https://www.dfw.state.or.us/news/2017/10_Oct/102417.asp</t>
  </si>
  <si>
    <t>Tahkenitch Creek, north of Winchester Bay and Reedsport, to Cape Foulweather, north of Newport</t>
  </si>
  <si>
    <t>https://www.dfw.state.or.us/news/2017/11_nov/111517.asp</t>
  </si>
  <si>
    <t>https://www.dfw.state.or.us/news/2017/11_nov/111617.asp</t>
  </si>
  <si>
    <t>ocean closure</t>
  </si>
  <si>
    <t>because commercial ocean crabbing is closed</t>
  </si>
  <si>
    <t xml:space="preserve"> Coquille River to the north jetty of Coos Bay</t>
  </si>
  <si>
    <t>https://www.dfw.state.or.us/news/2017/11_nov/112217c.asp</t>
  </si>
  <si>
    <t>Coquille River to OR-WA border</t>
  </si>
  <si>
    <t>https://www.dfw.state.or.us/news/2017/12_dec/120517.asp</t>
  </si>
  <si>
    <t>https://www.dfw.state.or.us/news/2017/12_dec/122117.asp</t>
  </si>
  <si>
    <t>https://www.dfw.state.or.us/news/2018/02_feb/020118b.asp</t>
  </si>
  <si>
    <t>https://www.dfw.state.or.us/news/2018/02_feb/021618b.asp</t>
  </si>
  <si>
    <t>https://www.dfw.state.or.us/news/2018/02_feb/021618c.asp</t>
  </si>
  <si>
    <t>https://www.dfw.state.or.us/news/2018/03_march/030518.asp</t>
  </si>
  <si>
    <t>https://www.dfw.state.or.us/news/2018/10_october/101918.asp</t>
  </si>
  <si>
    <t>https://www.dfw.state.or.us/news/2018/11_november/111418.asp</t>
  </si>
  <si>
    <t>CA-OR border to Cape Arago</t>
  </si>
  <si>
    <t>added line to match closure reason with opening reason in line 48</t>
  </si>
  <si>
    <t>Cape Arago to OR-WA border</t>
  </si>
  <si>
    <t>https://www.dfw.state.or.us/news/2018/12_december/123118b.asp</t>
  </si>
  <si>
    <t>https://www.dfw.state.or.us/news/2019/01_Jan/012419b.asp</t>
  </si>
  <si>
    <t>CA-OR border to Bandon</t>
  </si>
  <si>
    <t>https://www.dfw.state.or.us/news/2019/02_Feb/021419b.asp</t>
  </si>
  <si>
    <t>bays</t>
  </si>
  <si>
    <t>https://www.dfw.state.or.us/news/2019/02_Feb/021419.asp</t>
  </si>
  <si>
    <t>https://www.dfw.state.or.us/news/2019/03_Mar/032819.asp</t>
  </si>
  <si>
    <t>CHECK: It menstions the area of testing but not the precise area that is oppnening. Should we referecne the area that was closed in line 46 above</t>
  </si>
  <si>
    <t>https://www.dfw.state.or.us/news/2019/05_May/051019b.asp</t>
  </si>
  <si>
    <t>https://www.dfw.state.or.us/news/2019/05_May/052419.asp</t>
  </si>
  <si>
    <t>https://www.dfw.state.or.us/news/2019/11_Nov/111319.asp</t>
  </si>
  <si>
    <t>https://www.dfw.state.or.us/news/2019/12_Dec/122019.asp</t>
  </si>
  <si>
    <t>https://www.dfw.state.or.us/news/2020/11_Nov/112020.asp</t>
  </si>
  <si>
    <t>CA-OR border to Cape Falcon</t>
  </si>
  <si>
    <t>https://www.dfw.state.or.us/news/2020/12_Dec/120820b.asp</t>
  </si>
  <si>
    <t>https://www.dfw.state.or.us/news/2021/02_feb/020821.asp</t>
  </si>
  <si>
    <t>whale entanglement</t>
  </si>
  <si>
    <t>40-fathom depth restriction/20% gear reduction</t>
  </si>
  <si>
    <t>https://www.dfw.state.or.us/news/2022/11_Nov/111822b.asp</t>
  </si>
  <si>
    <t>https://www.dfw.state.or.us/news/2022/12_Dec/120722.asp</t>
  </si>
  <si>
    <t>https://www.dfw.state.or.us/news/2022/12_Dec/122222.asp</t>
  </si>
  <si>
    <t>CA to Cape Falcon</t>
  </si>
  <si>
    <t>https://www.dfw.state.or.us/news/2023/01_Jan/010623c.asp</t>
  </si>
  <si>
    <t>Cape Falcon to Cape Arago</t>
  </si>
  <si>
    <t>Kelly Corbett</t>
  </si>
  <si>
    <t>Harvest Area I</t>
  </si>
  <si>
    <t>Cape Falcon to Washington State</t>
  </si>
  <si>
    <t>https://www.dfw.state.or.us/news/2023/01_Jan/012623b.asp</t>
  </si>
  <si>
    <t>Harvest Areas I, H, J</t>
  </si>
  <si>
    <t>evisceration order (+depth restriction/gear reduction)</t>
  </si>
  <si>
    <t>https://www.dfw.state.or.us/news/2023/05_May/050123d.asp</t>
  </si>
  <si>
    <t>North of IHJ</t>
  </si>
  <si>
    <t>South of IHG</t>
  </si>
  <si>
    <t>https://www.dfw.state.or.us/news/2023/11_Nov/111723.asp</t>
  </si>
  <si>
    <t>CA to Cape Foulweather</t>
  </si>
  <si>
    <t>https://www.dfw.state.or.us/news/2023/12_Dec/120523b.asp</t>
  </si>
  <si>
    <t>Cape Foulweather to Cape Falcon</t>
  </si>
  <si>
    <t>https://www.dfw.state.or.us/news/2023/12_Dec/122023b.asp</t>
  </si>
  <si>
    <t>Cape Falcon to WA</t>
  </si>
  <si>
    <t>https://www.dfw.state.or.us/news/2024/01_Jan/010524b.asp</t>
  </si>
  <si>
    <t>Assumed</t>
  </si>
  <si>
    <t>California to Cape Blanco, OR</t>
  </si>
  <si>
    <t>https://www.dfw.state.or.us/news/2024/11_Nov/111424.asp</t>
  </si>
  <si>
    <t>Cape Blanco, OR to WA</t>
  </si>
  <si>
    <t>https://www.dfw.state.or.us/news/2024/11_Nov/112024.asp</t>
  </si>
  <si>
    <t>https://www.dfw.state.or.us/news/2024/12_Dec/120424b.asp</t>
  </si>
  <si>
    <t>https://www.dfw.state.or.us/news/2024/12_Dec/120624.asp</t>
  </si>
  <si>
    <t>https://www.dfw.state.or.us/news/2024/12_Dec/122324.asp</t>
  </si>
  <si>
    <t>https://www.dfw.state.or.us/news/2025/01_Jan/010725.asp</t>
  </si>
  <si>
    <t>https://myodfw.com/news/commercial-crab-season-delayed</t>
  </si>
  <si>
    <t>https://myodfw.com/news/commercial-crab-season-begins-dec-16-cape-falcon-california-border</t>
  </si>
  <si>
    <t>https://myodfw.com/news/oregons-north-coast-opens-commercial-crab-fishing-dec-31</t>
  </si>
  <si>
    <t>ODA</t>
  </si>
  <si>
    <t>Razor Clam</t>
  </si>
  <si>
    <t>not specified</t>
  </si>
  <si>
    <t>North Lincoln County to Cascade Head</t>
  </si>
  <si>
    <t>https://odanews.wpengine.com/news-release-portion-of-oregon-coast-reopens-for-razor-clam-harvesting/</t>
  </si>
  <si>
    <t>Coords form Google maps. Remarks what is happening before May 2016: "All razor clamming remains closed north of Cascade Head to Tillamook Head in Clatsop County and from the Yachats River south to the California border.</t>
  </si>
  <si>
    <t>all</t>
  </si>
  <si>
    <t>https://odanews.wpengine.com/news-release-entire-oregon-coast-closed-to-razor-clam-and-mussel-harvesting/</t>
  </si>
  <si>
    <t xml:space="preserve">DOES NOT HAVE AN OPENING </t>
  </si>
  <si>
    <t>Cascade Head to Tillamook Head</t>
  </si>
  <si>
    <t>https://odanews.wpengine.com/news-release-razor-clamming-reopened-on-part-of-the-oregon-coast/</t>
  </si>
  <si>
    <t>DOES NOT HAVE A CLOSURE</t>
  </si>
  <si>
    <t>conservation/biotoxin</t>
  </si>
  <si>
    <t>Clatsop County</t>
  </si>
  <si>
    <t>beaches</t>
  </si>
  <si>
    <t>https://odanews.wpengine.com/clatsop-county-razor-clamming-to-reopen/</t>
  </si>
  <si>
    <t>south jetty of Umpqua River to south jetty of Coos river</t>
  </si>
  <si>
    <t>beaches, bay</t>
  </si>
  <si>
    <t>https://odanews.wpengine.com/news-release-razor-clamming-reopened-on-part-of-the-oregon-coast-2/</t>
  </si>
  <si>
    <t>DO NOT HAVE A CLOSURE</t>
  </si>
  <si>
    <t>https://odanews.wpengine.com/news-release-razor-clamming-closed-on-part-of-the-oregon-coast/</t>
  </si>
  <si>
    <t>As a result, the recreational harvesting of razor clams is closed from Cascade Head, north of Lincoln City, to the California border.</t>
  </si>
  <si>
    <t>Cape Arago to south jetty of Umpqua River</t>
  </si>
  <si>
    <t>https://odanews.wpengine.com/news-release-razor-clamming-reopens-on-portion-of-oregons-south-coast/</t>
  </si>
  <si>
    <t>The harvesting of razor clams remains closed from Cascade Head to the north jetty of the Umpqua River and closed from Cape Arago to the California border. This includes all beaches and all bays.</t>
  </si>
  <si>
    <t>Yachats River to Cascade Head</t>
  </si>
  <si>
    <t>https://odanews.wpengine.com/news-release-razor-clamming-now-open-from-cascade-head-to-yachats-river/</t>
  </si>
  <si>
    <t>The harvesting of razor clams remains closed for elevated levels of domoic acid from the mouth of the Yachats River to the north jetty of the Umpqua River, and closed from Cape Arago to the California border. This includes all beaches and all bays.</t>
  </si>
  <si>
    <t>North jetty of Umpqua River to Yachats River</t>
  </si>
  <si>
    <t>https://odanews.wpengine.com/news-release-razor-clamming-now-open-from-the-yachats-river-to-the-umpqua-river/</t>
  </si>
  <si>
    <t>The harvesting of razor clams remains closed for elevated levels of domoic acid toxin from Cape Arago to the California border. This includes all beaches and all bays.</t>
  </si>
  <si>
    <t>North jetty of Umpqua River to Cascade Head</t>
  </si>
  <si>
    <t>https://odanews.wpengine.com/partial-razor-clam-closure-due-to-elevated-domoic-acid/</t>
  </si>
  <si>
    <t>Razor clamming is now closed from Cascade Head to the north jetty of the Umpqua River and closed from Cape Arago to the California border. This includes all beaches and all bays.
Razor clamming remains open from the Columbia River to Cascade Head and open from the south jetty of the Umpqua River to Cape Arago.</t>
  </si>
  <si>
    <t>Cape Perpetua to Columbia River</t>
  </si>
  <si>
    <t>https://odanews.wpengine.com/news-release-razor-clamming-open-from-columbia-river-to-cape-perpetua/</t>
  </si>
  <si>
    <t>Columbia River coord is the smae than OR-WA border</t>
  </si>
  <si>
    <t>conservation</t>
  </si>
  <si>
    <t>Tillamookhead to Columbia River</t>
  </si>
  <si>
    <t>https://odanews.wpengine.com/odfw-annual-razor-clam-conservation-closure-in-effect-from-columbia-river-to-tillamook-head/</t>
  </si>
  <si>
    <t>Razor clamming is now OPEN from Tillamook Head to Cape Perpetua and OPEN from the south jetty of the Umpqua River to Cape Arago. Razor clamming is CLOSED from the Columbia River to Tillamook Head (for the conservation closure) and CLOSED from Cape Perpetua to the north jetty of the Umpqua River, and CLOSED from Cape Arago to the California border for elevated levels of domoic acid toxin.</t>
  </si>
  <si>
    <t>Cape Arago to Tillamook Head</t>
  </si>
  <si>
    <t>https://odanews.wpengine.com/news-release-razor-clamming-open-from-tillamook-head-to-cape-arago-7-20-18/</t>
  </si>
  <si>
    <t>Recreational razor clamming is now open from Tillamook Head to Cape Arago.Recreational razor clamming is closed from Cape Arago to the California border for elevated levels of domoic acid toxin.Recreational razor clamming is also closed from the Columbia River to Tillamook Head for ODFW’s annual razor clam conservation closure.</t>
  </si>
  <si>
    <t>south jetty of Coquille River to Tillamook Head</t>
  </si>
  <si>
    <t>https://odanews.wpengine.com/news-release-razor-clamming-opens-from-cape-arago-to-the-coquille-river/</t>
  </si>
  <si>
    <t xml:space="preserve">Recreational razor clamming is now open from Tillamook Head to the south jetty of the Coquille River. Recreational razor clamming remains closed from the south jetty of the Coquille River to the California border for elevated levels of domoic acid toxin. Recreational razor clamming is also closed from the Columbia River to Tillamook Head for ODFW’s annual razor clam conservation closure. </t>
  </si>
  <si>
    <t>CA-OR border to south jetty of Umpqua River</t>
  </si>
  <si>
    <t>https://odanews.wpengine.com/news-release-razor-clamming-now-closed-from-umpqua-river-to-california-border-09-14-18/</t>
  </si>
  <si>
    <t>Recreational razor clamming is now closed from the south jetty of the Umpqua River to the California border. Recreational razor clamming is open from Tillamook Head to the north jetty of the Umpqua River. Recreational razor clamming is also closed from the Columbia River to Tillamook Head for ODFW’s annual razor clam conservation closure.</t>
  </si>
  <si>
    <t>https://odanews.wpengine.com/clatsop-beaches-razor-clam-conservation-closure-ends/</t>
  </si>
  <si>
    <t>Recreational razor clamming is now OPEN from the Columbia River to Cape Blanco. Recreational razor clamming is CLOSED from Cape Blanco to the California border for elevated levels of domoic acid toxin.</t>
  </si>
  <si>
    <t>Cape Blanco to Umpqua River</t>
  </si>
  <si>
    <t>Recreational razor clamming is Rnow OPEN from the Columbia River to Cape Blanco. Recreational razor clamming is CLOSED from Cape Blanco to the California border for elevated levels of domoic acid toxin.</t>
  </si>
  <si>
    <t>https://odanews.wpengine.com/clatsop-beaches-close-for-razor-clam-harvesting/</t>
  </si>
  <si>
    <t>Razor clamming continues to be closed from Cape Blanco to the California border. Razor clamming remains open from Tillamook Head to Cape Blanco and other shellfish harvesting including mussels and bay clams are open along the entire Oregon coast.</t>
  </si>
  <si>
    <t>https://odanews.wpengine.com/clatsop-beaches-open-for-razor-clamming/</t>
  </si>
  <si>
    <t>Recreational razor clamming remains closed on our south coast, from Cape Blanco to the California border. Recreational razor clamming is now OPEN from the Columbia River to Cape Blanco (north of Port Orford).
Recreational bay clam and mussel harvesting is OPEN along the entire Oregon coast.
Recreational crabbing is OPEN along the entire Oregon coast.</t>
  </si>
  <si>
    <t>Cape Blanco to south jetty of the Siuslaw River</t>
  </si>
  <si>
    <t>https://www.dfw.state.or.us/news/2019/06_Jun/060719.asp</t>
  </si>
  <si>
    <t>Razor clamming remains open from the Columbia River to the south jetty of the Siuslaw River.</t>
  </si>
  <si>
    <t>Siuslaw RIver to Columbia River</t>
  </si>
  <si>
    <t>https://odanews.wpengine.com/recreational-razor-clamming-open-from-the-columbia-river-to-the-siuslaw-river/</t>
  </si>
  <si>
    <t>Recreational and commercial razor clamming remains closed from the south jetty of the Siuslaw River (in Florence) to the California border for elevated levels of domoic acid toxin.</t>
  </si>
  <si>
    <t>CA-OR border to Cascade Head</t>
  </si>
  <si>
    <t>https://odanews.wpengine.com/recreational-razor-clamming-closes-on-central-oregon-coast/</t>
  </si>
  <si>
    <t>Razor clamming is now closed from Cascade Head (north of Lincoln City) to the California border. Recent razor clam sample results indicate the marine biotoxin domoic acid is above the closure limit.
Razor clamming is open from the Columbia River to Cascade Head (north of Lincoln City).</t>
  </si>
  <si>
    <t>Cape Arago to Siuslaw River</t>
  </si>
  <si>
    <t>https://odanews.wpengine.com/recreational-razor-clamming-open-from-siuslaw-river-to-cape-arago/</t>
  </si>
  <si>
    <t>Recreational and commercial razor clamming remains closed from Cascade Head to the north jetty of the Siuslaw River and closed from Cape Arago to the California border, for elevated levels of domoic acid toxin.</t>
  </si>
  <si>
    <t>Cape Arago to Coos Bay</t>
  </si>
  <si>
    <t>https://odanews.wpengine.com/portion-of-oregon-coast-opens-for-razor-clam-harvesting/</t>
  </si>
  <si>
    <t>Razor clam harvesting remains CLOSED from the Columbia River to the north jetty of Coos Bay, and from Cape Arago to the California border.</t>
  </si>
  <si>
    <t>CA-OR border to Siuslaw River</t>
  </si>
  <si>
    <t>https://odanews.wpengine.com/southern-oregon-coast-opens-up-for-razor-clam-harvesting/</t>
  </si>
  <si>
    <t>Razor clam harvesting remains closed from the Columbia River to the north jetty of the Siuslaw River.</t>
  </si>
  <si>
    <t>Mussels</t>
  </si>
  <si>
    <t>CA-OR border to Haceta Head</t>
  </si>
  <si>
    <t>https://odanews.wpengine.com/news-release-portion-of-south-oregon-coast-reopened-to-mussel-harvesting-2/</t>
  </si>
  <si>
    <t>Mussel harvesting remains closed north of Heceta Head to the mouth of the Columbia River due to elevated domoic acid levels</t>
  </si>
  <si>
    <t>Haceta Head to OR-WA Border</t>
  </si>
  <si>
    <t>https://odanews.wpengine.com/news-release-north-and-central-oregon-coast-reopened-to-mussel-harvesting/</t>
  </si>
  <si>
    <t>Mussel harvesting is now open along the entire Oregon coastline.</t>
  </si>
  <si>
    <t>PST</t>
  </si>
  <si>
    <t xml:space="preserve">CA-OR border to Cape Arago </t>
  </si>
  <si>
    <t>https://odanews.wpengine.com/news-release-south-oregon-coast-closed-to-mussel-harvesting/</t>
  </si>
  <si>
    <t>Recreational harvesting of razor clams remains closed along the entire Oregon coast due to elevated levels of domoic acid.</t>
  </si>
  <si>
    <t>https://odanews.wpengine.com/news-release-south-oregon-coast-reopened-to-mussel-harvesting/</t>
  </si>
  <si>
    <t>All mussel harvesting is now open along the entire Oregon coast.</t>
  </si>
  <si>
    <t>https://odanews.wpengine.com/north-oregon-coast-closed-to-mussel-harvesting/</t>
  </si>
  <si>
    <t>Mussel harvesting remains open along the Oregon coast at the Columbia River and from Cascade Head south to the California border.</t>
  </si>
  <si>
    <t>https://odanews.wpengine.com/news-release-entire-oregon-coast-open-for-mussel-harvesting/</t>
  </si>
  <si>
    <t>As a result, all mussel harvesting is now open along the entire Oregon coast.</t>
  </si>
  <si>
    <t>North jetty of Yaquina bay to south jetty of Columbia River</t>
  </si>
  <si>
    <t>https://odanews.wpengine.com/news-release-north-oregon-coast-closed-to-mussel-harvesting/</t>
  </si>
  <si>
    <t xml:space="preserve"> Mussel harvesting remains open along the Oregon coast from the south jetty of Yaquina Bay to the California border.</t>
  </si>
  <si>
    <t>https://odanews.wpengine.com/news-release-entire-oregon-coast-reopened-for-mussel-harvesting/</t>
  </si>
  <si>
    <t>CA-OR border to south jetty of Coquille River, Bandon</t>
  </si>
  <si>
    <t>https://odanews.wpengine.com/news-release-mussel-harvesting-closed-from-coquille-river-to-california-border/</t>
  </si>
  <si>
    <t>Recreational mussel harvesting is now open from the Columbia River to the south jetty of the Coquille River.
Recreational mussel harvesting is now closed from the south jetty of the Coquille River to the California border.</t>
  </si>
  <si>
    <t>CA-OR border to Coquille River, Bandon</t>
  </si>
  <si>
    <t>https://odanews.wpengine.com/news-release-odfw-extends-razor-clam-conservation-closure-portion-of-coast-re-opens-for-mussel-recreational-harvesting/</t>
  </si>
  <si>
    <t>Recreational mussel harvesting is now open along the entire Oregon coast.</t>
  </si>
  <si>
    <t>PSP</t>
  </si>
  <si>
    <t>https://odanews.wpengine.com/recreational-mussel-harvesting-now-open-along-entire-oregon-coast/</t>
  </si>
  <si>
    <t>DOES NOT HAVE A CLOSURE DATE. Razor clamming is closed along the entire Oregon coast for elevated levels of domoic acid toxin.</t>
  </si>
  <si>
    <t>https://odanews.wpengine.com/news-release-recreational-crabbing-closed-from-tillamook-head-to-california-border/</t>
  </si>
  <si>
    <t>https://odanews.wpengine.com/state-opens-a-portion-of-commercial-dungeness-crab-season-extends-recreational-opening/</t>
  </si>
  <si>
    <t>The news is not about the delying of the season. I added this line just to show that the fishery was closed on Dec 1</t>
  </si>
  <si>
    <t>CA-OR border to North jetty of Umpqua River</t>
  </si>
  <si>
    <t>https://odanews.wpengine.com/coos-bay-and-winchester-bay-now-open-for-recreational-crabbing/</t>
  </si>
  <si>
    <t>North jetty of Umpqua River to Cape Lookout</t>
  </si>
  <si>
    <t>https://odanews.wpengine.com/recreational-crabbing-now-open-in-all-oregon-waters/</t>
  </si>
  <si>
    <t>All the coast is open to reacreational crabbing</t>
  </si>
  <si>
    <t>https://odanews.wpengine.com/entire-oregon-coast-set-to-open-for-commercial-dungeness-crabbing/</t>
  </si>
  <si>
    <t>North jetty of Coos Bay to Haceta Head</t>
  </si>
  <si>
    <t>https://odanews.wpengine.com/news-release-commercial-crabbing-closed-along-central-oregon-coast/</t>
  </si>
  <si>
    <t xml:space="preserve">From eviseration order goes directly to full closure. </t>
  </si>
  <si>
    <t>https://odanews.wpengine.com/news-release-crabbing-restrictions-lifted-on-central-oregon-coast/</t>
  </si>
  <si>
    <t>https://odanews.wpengine.com/news-release-portion-of-oregon-coast-closed-to-recreational-crab-harvesting/</t>
  </si>
  <si>
    <t>Cape Blanco to Coquille River</t>
  </si>
  <si>
    <t>https://odanews.wpengine.com/news-release-crab-harvesting-closure-extended-on-oregon-coast/</t>
  </si>
  <si>
    <t>Coquille River to north jetty of Coos bay</t>
  </si>
  <si>
    <t>https://odanews.wpengine.com/news-release-crabbing-closure-extended-once-again-on-south-oregon-coast/</t>
  </si>
  <si>
    <t>Tahkenitch Creek to Cape Foulweather</t>
  </si>
  <si>
    <t>https://odanews.wpengine.com/news-release-portion-of-central-oregon-coast-added-to-crab-harvesting-closure/</t>
  </si>
  <si>
    <t>north jetty of Coquille River to the Columbia River</t>
  </si>
  <si>
    <t>https://odanews.wpengine.com/news-release-recreational-crab-harvesting-reopens-on-a-portion-of-oregon-coast/</t>
  </si>
  <si>
    <t>The N lat is the one we have been using to delimit the OR-WA border</t>
  </si>
  <si>
    <t>Cape Blanco to Columbia RIver</t>
  </si>
  <si>
    <t>https://odanews.wpengine.com/news-release-another-section-of-oregon-coast-reopened-to-recreational-crabbing/</t>
  </si>
  <si>
    <t>https://odanews.wpengine.com/news-release-entire-oregon-coast-now-open-for-crabbing/</t>
  </si>
  <si>
    <t>CA-OR borde to Cape Blanco</t>
  </si>
  <si>
    <t>https://odanews.wpengine.com/news-release-recreational-crabbing-closed-along-south-oregon-coast/</t>
  </si>
  <si>
    <t>https://odanews.wpengine.com/news-release-entire-oregon-coast-reopened-for-crabbing/</t>
  </si>
  <si>
    <t>https://odanews.wpengine.com/recreational-crabbing-closes-from-cape-blanco-to-california/</t>
  </si>
  <si>
    <t>https://odanews.wpengine.com/odfw-news-release-commercial-dungeness-crab-season-delayed/</t>
  </si>
  <si>
    <t>Cape Arago to Columbia River</t>
  </si>
  <si>
    <t>https://odanews.wpengine.com/oregon-commercial-crab-fishery-to-open-jan-4-north-of-cape-arago/</t>
  </si>
  <si>
    <t>NOTE that inicial closure of all OR coast ( line54 is only for body condition)</t>
  </si>
  <si>
    <t>Cape Blanco to Cape Arago</t>
  </si>
  <si>
    <t>https://odanews.wpengine.com/remainder-of-oregon-coast-to-open-commercial-crabbing-feb-1/</t>
  </si>
  <si>
    <t>"All crab harvested from south of Cape Blanco along the west coast will be required to have the viscera (guts) removed"</t>
  </si>
  <si>
    <t>https://odanews.wpengine.com/entire-oregon-coast-now-open-for-crabbing/</t>
  </si>
  <si>
    <t>evisceration order-OR vessels in CA waters</t>
  </si>
  <si>
    <t>CA</t>
  </si>
  <si>
    <t>https://odanews.wpengine.com/recreational-crabbing-closes-on-southern-oregon-coast/</t>
  </si>
  <si>
    <t>https://odanews.wpengine.com/south-coast-opens-for-recreational-crabbing/</t>
  </si>
  <si>
    <t>https://odanews.wpengine.com/south-coast-closes-for-recreational-crabbing-from-cape-blanco-to-california-border/</t>
  </si>
  <si>
    <t>https://odanews.wpengine.com/southern-oregon-coast-crabbing-restrictions-lifted/</t>
  </si>
  <si>
    <t>Column Name</t>
  </si>
  <si>
    <t>Range/Categories</t>
  </si>
  <si>
    <t>Description</t>
  </si>
  <si>
    <t>Note</t>
  </si>
  <si>
    <t>Date the news release was published</t>
  </si>
  <si>
    <t>ODFW; WDFW; CDFG; CDFW</t>
  </si>
  <si>
    <t>Deparmet that issued the news release were the information is retrived</t>
  </si>
  <si>
    <t>There are two entries that unde Camila, where it was assumed that the gear reduction ended once the northern fishing areas opened to state fishres</t>
  </si>
  <si>
    <t>Year in which the action was emplaced or lifted</t>
  </si>
  <si>
    <t>Exact date which action was emplaced or lifted</t>
  </si>
  <si>
    <t>Species or part of a species, specified in parenthesis, to which the action applies</t>
  </si>
  <si>
    <t>When action applies to commercial and recreational fisheries</t>
  </si>
  <si>
    <t>When action is specific to recreational fisheries</t>
  </si>
  <si>
    <t>When action is specific to commercial fisheries</t>
  </si>
  <si>
    <t>Action is implaced</t>
  </si>
  <si>
    <t>Action is lifted</t>
  </si>
  <si>
    <t>The information is infered from what the news release describes. For example is anounce a day in the future where an action will take place but there is no corroboration that the action happned.</t>
  </si>
  <si>
    <t>The reason of the action has to do with the molding of crabs</t>
  </si>
  <si>
    <t>Action happens because of the molding stage of the crab and because of concentration levels of biotoxins</t>
  </si>
  <si>
    <t>Action happnes because of levels of domoic acid</t>
  </si>
  <si>
    <t>When area is open just for tribal nations</t>
  </si>
  <si>
    <t>Closure caused by damages of oil spill</t>
  </si>
  <si>
    <t>Washington Special Management Areas. This areas are open to tribal nations and only open to state fishers according to management plan. Here we reflect when they open to state fishers</t>
  </si>
  <si>
    <t>Summer season closes latter than regular</t>
  </si>
  <si>
    <t>Action related to an opening or closing of an area</t>
  </si>
  <si>
    <t>Area is open to fishing but there is gear restriction in place</t>
  </si>
  <si>
    <t>Area is open to fishing but there is an order to remove internal organs for commercialization</t>
  </si>
  <si>
    <t>Written description from where to where the health advisory applies</t>
  </si>
  <si>
    <t>Southern latitud coordenate of where the health advisory applies</t>
  </si>
  <si>
    <t>Northern latitud coordinate of where the health advisory applies</t>
  </si>
  <si>
    <t>PSMFC; WDFW</t>
  </si>
  <si>
    <t>Website where information was retrived</t>
  </si>
  <si>
    <t>Direct website where the information was retrived</t>
  </si>
  <si>
    <t>Any additional information needed to clarify the data</t>
  </si>
  <si>
    <t>Dungeness Crab; Crabs</t>
  </si>
  <si>
    <t>Action happens because of the molding stage of the crab and because concentration levels of domoic acid</t>
  </si>
  <si>
    <t>Action emplaced when the ocean fishery is closed</t>
  </si>
  <si>
    <t>evisceration order-OR vessels in WA waters</t>
  </si>
  <si>
    <t>Oregon vessels fishing in WA waters must remove internal organs from crabs for commercializing the product</t>
  </si>
  <si>
    <t>Main organization where the information was retrived</t>
  </si>
  <si>
    <t>Data is separated by sprecies in three different sheet just for convininece for checking openings and closures. If necesary they should be easily rbind.</t>
  </si>
  <si>
    <t>2016 - 2021</t>
  </si>
  <si>
    <t>Razor Clam, Mussels Crab</t>
  </si>
  <si>
    <t>When language used in news release iplies "all" fisheries</t>
  </si>
  <si>
    <t>We assumed that "all" fisheries means commercial and recreational</t>
  </si>
  <si>
    <t>When news release does not specify a fishery</t>
  </si>
  <si>
    <t>When fishery was not specified we assumed it is recreational</t>
  </si>
  <si>
    <t>Action happens because concentration levels of Paralytic Shelfish Poison (PSP)</t>
  </si>
  <si>
    <t>Actions happnes as a conservation meassure but also the levels of biotoxin influence the decision</t>
  </si>
  <si>
    <t>State</t>
  </si>
  <si>
    <t>landmark type</t>
  </si>
  <si>
    <t>landmark</t>
  </si>
  <si>
    <t>lon</t>
  </si>
  <si>
    <t>lat</t>
  </si>
  <si>
    <t>state line</t>
  </si>
  <si>
    <t>California-Mexico border</t>
  </si>
  <si>
    <t>SMA areas coordinates</t>
  </si>
  <si>
    <t>Point Arenas</t>
  </si>
  <si>
    <t>Quinault PSMA</t>
  </si>
  <si>
    <t>CA-OR</t>
  </si>
  <si>
    <t>California-Oregon border</t>
  </si>
  <si>
    <r>
      <rPr/>
      <t xml:space="preserve">Ref: </t>
    </r>
    <r>
      <rPr>
        <color rgb="FF1155CC"/>
        <u/>
      </rPr>
      <t>http://www.psmfc.org/crab/2009-2010%20files/WA%20Industry%20Notice%2012212009.pdf</t>
    </r>
  </si>
  <si>
    <t>Cape Falcon</t>
  </si>
  <si>
    <t>Cape Arago</t>
  </si>
  <si>
    <t>Corner</t>
  </si>
  <si>
    <t>Cape Foulweater</t>
  </si>
  <si>
    <t>Northeast</t>
  </si>
  <si>
    <t>Raft River</t>
  </si>
  <si>
    <t>Northwest</t>
  </si>
  <si>
    <t>Gold beach</t>
  </si>
  <si>
    <t>Southwest</t>
  </si>
  <si>
    <t>OR-WA</t>
  </si>
  <si>
    <t>Oregon-Washington border</t>
  </si>
  <si>
    <t>Southesat</t>
  </si>
  <si>
    <t>Copalis River</t>
  </si>
  <si>
    <t>Klipsan beach</t>
  </si>
  <si>
    <t>Point Chehalis</t>
  </si>
  <si>
    <t>Quinault SSMA</t>
  </si>
  <si>
    <t>Joe Creek</t>
  </si>
  <si>
    <r>
      <rPr/>
      <t xml:space="preserve">Ref: </t>
    </r>
    <r>
      <rPr>
        <color rgb="FF1155CC"/>
        <u/>
      </rPr>
      <t>http://www.psmfc.org/crab/2009-2010%20files/WA%20Industry%20Notice%2012212009.pdf</t>
    </r>
  </si>
  <si>
    <t>Point Grenville</t>
  </si>
  <si>
    <t>Split Rock</t>
  </si>
  <si>
    <t>Queets River</t>
  </si>
  <si>
    <t>Destruction Island</t>
  </si>
  <si>
    <t>Cape Johnson</t>
  </si>
  <si>
    <t>Sand Point</t>
  </si>
  <si>
    <t>WA-Canada</t>
  </si>
  <si>
    <t>Washington - Canada border</t>
  </si>
  <si>
    <t>Quileute SMA</t>
  </si>
  <si>
    <r>
      <rPr/>
      <t xml:space="preserve">Ref: </t>
    </r>
    <r>
      <rPr>
        <color rgb="FF1155CC"/>
        <u/>
      </rPr>
      <t>http://www.psmfc.org/crab/2009-2010%20files/Industry%20Notice042610.pdf</t>
    </r>
  </si>
  <si>
    <t>Crab Harvest Area</t>
  </si>
  <si>
    <t>Crab Harvest Area Boundaries</t>
  </si>
  <si>
    <t>Cape Flattery (48°26’) to Destruction Island (47°40.5’)</t>
  </si>
  <si>
    <t>Destruction Island (47°40.5’) to Point Grenville (47°18.4’)</t>
  </si>
  <si>
    <t>Grays Harbor</t>
  </si>
  <si>
    <t>Point Grenville (47°18.4’) to Point Chehalis (46°53.3’)</t>
  </si>
  <si>
    <t>Willapa Bay</t>
  </si>
  <si>
    <t>Point Chehalis (46°53.3’) to OR/WA State Boundary (46°15’)</t>
  </si>
  <si>
    <t>Point Chehalis (46°53.3’) to Klipsan Beach (46°28’)</t>
  </si>
  <si>
    <t>Klipsan Beach (46°28’) to OR/WA State Boundary (46°15’)</t>
  </si>
  <si>
    <t>Washington part of Columbia River</t>
  </si>
  <si>
    <t>50-A</t>
  </si>
  <si>
    <t>​OR/WA border (46° 15’) to Cape Falcon (45° 46’) and Oregon part of Columbia River</t>
  </si>
  <si>
    <t>50-B</t>
  </si>
  <si>
    <t>​Cape Falcon (45° 46’) to Cape Lookout (45° 20.3’)</t>
  </si>
  <si>
    <t>50-C</t>
  </si>
  <si>
    <t>​Cape Lookout (45° 20.3’) to Cascade Head (45° 04’)</t>
  </si>
  <si>
    <t>50-D</t>
  </si>
  <si>
    <t>​Cascade Head (45° 04’) to Cape Foulweather (44° 46.4’)</t>
  </si>
  <si>
    <t>50-E</t>
  </si>
  <si>
    <t>Cape Foulweather (44° 46.4’) to Waldport (44° 26’)</t>
  </si>
  <si>
    <t>50-F</t>
  </si>
  <si>
    <t>​Waldport (44° 26’) to Heceta Head (44° 08.3’)</t>
  </si>
  <si>
    <t>50-G</t>
  </si>
  <si>
    <t>​Heceta Head (44° 08.3’) to Takenitch Creek (43° 47’)</t>
  </si>
  <si>
    <t>50-H</t>
  </si>
  <si>
    <t>​Takenitch Creek (43° 47’) to North Bend (43° 25’)</t>
  </si>
  <si>
    <t>50-I</t>
  </si>
  <si>
    <t>​North Bend (43° 25’) to Bandon (43°07’)</t>
  </si>
  <si>
    <t>50-J</t>
  </si>
  <si>
    <t>​Bandon (43° 07’) to Cape Blanco (42° 50’)</t>
  </si>
  <si>
    <t>50-K</t>
  </si>
  <si>
    <t>​Cape Blanco (42° 50’) to Gold Beach (42° 26’)</t>
  </si>
  <si>
    <t>50-L</t>
  </si>
  <si>
    <t>​Gold Beach (42° 26’) to OR/CA border (42° 00)</t>
  </si>
  <si>
    <t>OR/CA State Boundary (42°00’) to U.S.-Mex. Border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</si>
</sst>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mm d, yyyy"/>
    <numFmt numFmtId="165" formatCode="mm-dd-yyyy"/>
    <numFmt numFmtId="166" formatCode="m-d-yyyy"/>
    <numFmt numFmtId="167" formatCode="mmmm dd, yyyy"/>
    <numFmt numFmtId="168" formatCode="mmmm d yyyy"/>
    <numFmt numFmtId="169" formatCode="m/d/yyyy"/>
    <numFmt numFmtId="170" formatCode="mmmm d,yyyy"/>
    <numFmt numFmtId="171" formatCode="mmmm d. yyyy"/>
  </numFmts>
  <fonts count="24">
    <font>
      <sz val="10.0"/>
      <color rgb="FF000000"/>
      <name val="Arial"/>
      <scheme val="minor"/>
    </font>
    <font>
      <b/>
      <sz val="10.0"/>
      <color theme="1"/>
      <name val="Arial"/>
    </font>
    <font>
      <sz val="10.0"/>
      <color theme="1"/>
      <name val="Arial"/>
    </font>
    <font>
      <sz val="10.0"/>
      <color theme="1"/>
      <name val="Arial"/>
      <scheme val="minor"/>
    </font>
    <font>
      <u/>
      <sz val="10.0"/>
      <color rgb="FF1155CC"/>
    </font>
    <font>
      <u/>
      <sz val="10.0"/>
      <color rgb="FF0000FF"/>
    </font>
    <font>
      <color theme="1"/>
      <name val="Arial"/>
      <scheme val="minor"/>
    </font>
    <font>
      <u/>
      <color rgb="FF1155CC"/>
    </font>
    <font>
      <u/>
      <sz val="10.0"/>
      <color rgb="FF0000FF"/>
    </font>
    <font>
      <b/>
      <sz val="10.0"/>
      <color theme="1"/>
      <name val="Arial"/>
      <scheme val="minor"/>
    </font>
    <font>
      <u/>
      <sz val="10.0"/>
      <color rgb="FF1155CC"/>
      <name val="Arial"/>
      <scheme val="minor"/>
    </font>
    <font>
      <i/>
      <sz val="10.0"/>
      <color theme="1"/>
      <name val="Arial"/>
      <scheme val="minor"/>
    </font>
    <font>
      <sz val="10.0"/>
      <color rgb="FF1D1C1D"/>
      <name val="Slack-Lato"/>
    </font>
    <font>
      <sz val="10.0"/>
      <color rgb="FF1D1C1D"/>
      <name val="Arial"/>
    </font>
    <font>
      <u/>
      <sz val="10.0"/>
      <color rgb="FF1155CC"/>
      <name val="Arial"/>
    </font>
    <font>
      <u/>
      <color rgb="FF0000FF"/>
    </font>
    <font>
      <u/>
      <color rgb="FF0000FF"/>
    </font>
    <font>
      <color theme="1"/>
      <name val="Arial"/>
    </font>
    <font>
      <u/>
      <color rgb="FF0000FF"/>
    </font>
    <font>
      <u/>
      <color rgb="FF0000FF"/>
    </font>
    <font>
      <sz val="10.0"/>
      <color rgb="FF000000"/>
      <name val="Arial"/>
    </font>
    <font>
      <sz val="12.0"/>
      <color rgb="FF222222"/>
      <name val="Arial"/>
    </font>
    <font>
      <b/>
      <color theme="1"/>
      <name val="Arial"/>
      <scheme val="minor"/>
    </font>
    <font>
      <b/>
      <color theme="1"/>
      <name val="Arial"/>
    </font>
  </fonts>
  <fills count="6">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FFFFFF"/>
        <bgColor rgb="FFFFFFFF"/>
      </patternFill>
    </fill>
    <fill>
      <patternFill patternType="solid">
        <fgColor rgb="FFEAD1DC"/>
        <bgColor rgb="FFEAD1DC"/>
      </patternFill>
    </fill>
  </fills>
  <borders count="4">
    <border/>
    <border>
      <left style="thin">
        <color rgb="FF000000"/>
      </left>
      <right style="thin">
        <color rgb="FF000000"/>
      </right>
      <top style="thin">
        <color rgb="FF000000"/>
      </top>
      <bottom style="thin">
        <color rgb="FF000000"/>
      </bottom>
    </border>
    <border>
      <right/>
    </border>
    <border>
      <top style="thin">
        <color rgb="FF000000"/>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readingOrder="0" vertical="bottom"/>
    </xf>
    <xf borderId="0" fillId="0" fontId="2" numFmtId="0" xfId="0" applyAlignment="1" applyFont="1">
      <alignment vertical="bottom"/>
    </xf>
    <xf borderId="0" fillId="0" fontId="3" numFmtId="164" xfId="0" applyAlignment="1" applyFont="1" applyNumberFormat="1">
      <alignment readingOrder="0"/>
    </xf>
    <xf borderId="0" fillId="0" fontId="3" numFmtId="0" xfId="0" applyAlignment="1" applyFont="1">
      <alignment readingOrder="0"/>
    </xf>
    <xf borderId="0" fillId="0" fontId="3" numFmtId="165" xfId="0" applyAlignment="1" applyFont="1" applyNumberFormat="1">
      <alignment readingOrder="0"/>
    </xf>
    <xf borderId="0" fillId="0" fontId="4" numFmtId="0" xfId="0" applyAlignment="1" applyFont="1">
      <alignment readingOrder="0"/>
    </xf>
    <xf borderId="0" fillId="0" fontId="3" numFmtId="0" xfId="0" applyFont="1"/>
    <xf borderId="0" fillId="0" fontId="2" numFmtId="0" xfId="0" applyAlignment="1" applyFont="1">
      <alignment horizontal="right" readingOrder="0" vertical="bottom"/>
    </xf>
    <xf borderId="0" fillId="0" fontId="5" numFmtId="0" xfId="0" applyAlignment="1" applyFont="1">
      <alignment readingOrder="0"/>
    </xf>
    <xf borderId="0" fillId="0" fontId="6" numFmtId="164" xfId="0" applyAlignment="1" applyFont="1" applyNumberFormat="1">
      <alignment readingOrder="0"/>
    </xf>
    <xf borderId="0" fillId="0" fontId="6" numFmtId="0" xfId="0" applyAlignment="1" applyFont="1">
      <alignment readingOrder="0"/>
    </xf>
    <xf borderId="0" fillId="0" fontId="7" numFmtId="0" xfId="0" applyAlignment="1" applyFont="1">
      <alignment readingOrder="0"/>
    </xf>
    <xf borderId="0" fillId="0" fontId="3" numFmtId="166" xfId="0" applyAlignment="1" applyFont="1" applyNumberFormat="1">
      <alignment readingOrder="0"/>
    </xf>
    <xf borderId="0" fillId="0" fontId="8" numFmtId="0" xfId="0" applyAlignment="1" applyFont="1">
      <alignment readingOrder="0"/>
    </xf>
    <xf borderId="0" fillId="0" fontId="9" numFmtId="0" xfId="0" applyAlignment="1" applyFont="1">
      <alignment readingOrder="0"/>
    </xf>
    <xf borderId="0" fillId="0" fontId="3" numFmtId="167" xfId="0" applyAlignment="1" applyFont="1" applyNumberFormat="1">
      <alignment readingOrder="0"/>
    </xf>
    <xf borderId="0" fillId="0" fontId="10" numFmtId="0" xfId="0" applyAlignment="1" applyFont="1">
      <alignment readingOrder="0"/>
    </xf>
    <xf borderId="0" fillId="2" fontId="3" numFmtId="0" xfId="0" applyFill="1" applyFont="1"/>
    <xf borderId="0" fillId="0" fontId="11" numFmtId="0" xfId="0" applyAlignment="1" applyFont="1">
      <alignment readingOrder="0"/>
    </xf>
    <xf borderId="0" fillId="0" fontId="11" numFmtId="0" xfId="0" applyFont="1"/>
    <xf borderId="0" fillId="0" fontId="12" numFmtId="0" xfId="0" applyAlignment="1" applyFont="1">
      <alignment horizontal="left" readingOrder="0"/>
    </xf>
    <xf borderId="0" fillId="0" fontId="13" numFmtId="0" xfId="0" applyAlignment="1" applyFont="1">
      <alignment horizontal="left" readingOrder="0"/>
    </xf>
    <xf borderId="0" fillId="0" fontId="3" numFmtId="168" xfId="0" applyAlignment="1" applyFont="1" applyNumberFormat="1">
      <alignment readingOrder="0"/>
    </xf>
    <xf borderId="0" fillId="0" fontId="2" numFmtId="168" xfId="0" applyAlignment="1" applyFont="1" applyNumberFormat="1">
      <alignment horizontal="right" vertical="bottom"/>
    </xf>
    <xf borderId="0" fillId="0" fontId="2" numFmtId="0" xfId="0" applyAlignment="1" applyFont="1">
      <alignment horizontal="right" vertical="bottom"/>
    </xf>
    <xf borderId="0" fillId="0" fontId="2" numFmtId="165" xfId="0" applyAlignment="1" applyFont="1" applyNumberFormat="1">
      <alignment horizontal="right" readingOrder="0" vertical="bottom"/>
    </xf>
    <xf borderId="0" fillId="0" fontId="2" numFmtId="0" xfId="0" applyAlignment="1" applyFont="1">
      <alignment readingOrder="0" vertical="bottom"/>
    </xf>
    <xf borderId="2" fillId="0" fontId="14" numFmtId="0" xfId="0" applyAlignment="1" applyBorder="1" applyFont="1">
      <alignment shrinkToFit="0" vertical="bottom" wrapText="0"/>
    </xf>
    <xf borderId="0" fillId="0" fontId="15" numFmtId="0" xfId="0" applyAlignment="1" applyFont="1">
      <alignment readingOrder="0"/>
    </xf>
    <xf borderId="0" fillId="0" fontId="3" numFmtId="169" xfId="0" applyAlignment="1" applyFont="1" applyNumberFormat="1">
      <alignment readingOrder="0"/>
    </xf>
    <xf borderId="0" fillId="0" fontId="6" numFmtId="170" xfId="0" applyAlignment="1" applyFont="1" applyNumberFormat="1">
      <alignment readingOrder="0"/>
    </xf>
    <xf borderId="0" fillId="0" fontId="6" numFmtId="169" xfId="0" applyAlignment="1" applyFont="1" applyNumberFormat="1">
      <alignment readingOrder="0"/>
    </xf>
    <xf borderId="0" fillId="0" fontId="6" numFmtId="168" xfId="0" applyAlignment="1" applyFont="1" applyNumberFormat="1">
      <alignment readingOrder="0"/>
    </xf>
    <xf borderId="0" fillId="0" fontId="16" numFmtId="0" xfId="0" applyAlignment="1" applyFont="1">
      <alignment readingOrder="0"/>
    </xf>
    <xf borderId="0" fillId="0" fontId="17" numFmtId="164" xfId="0" applyAlignment="1" applyFont="1" applyNumberFormat="1">
      <alignment vertical="bottom"/>
    </xf>
    <xf borderId="0" fillId="0" fontId="17" numFmtId="0" xfId="0" applyAlignment="1" applyFont="1">
      <alignment vertical="bottom"/>
    </xf>
    <xf borderId="0" fillId="0" fontId="17" numFmtId="0" xfId="0" applyAlignment="1" applyFont="1">
      <alignment horizontal="right" readingOrder="0" vertical="bottom"/>
    </xf>
    <xf borderId="0" fillId="0" fontId="17" numFmtId="169" xfId="0" applyAlignment="1" applyFont="1" applyNumberFormat="1">
      <alignment horizontal="right" readingOrder="0" vertical="bottom"/>
    </xf>
    <xf borderId="0" fillId="0" fontId="17" numFmtId="0" xfId="0" applyAlignment="1" applyFont="1">
      <alignment vertical="bottom"/>
    </xf>
    <xf borderId="0" fillId="0" fontId="17" numFmtId="0" xfId="0" applyAlignment="1" applyFont="1">
      <alignment horizontal="right" vertical="bottom"/>
    </xf>
    <xf borderId="3" fillId="0" fontId="6" numFmtId="164" xfId="0" applyAlignment="1" applyBorder="1" applyFont="1" applyNumberFormat="1">
      <alignment readingOrder="0"/>
    </xf>
    <xf borderId="3" fillId="0" fontId="6" numFmtId="0" xfId="0" applyAlignment="1" applyBorder="1" applyFont="1">
      <alignment readingOrder="0"/>
    </xf>
    <xf borderId="3" fillId="0" fontId="6" numFmtId="169" xfId="0" applyAlignment="1" applyBorder="1" applyFont="1" applyNumberFormat="1">
      <alignment readingOrder="0"/>
    </xf>
    <xf borderId="3" fillId="0" fontId="6" numFmtId="0" xfId="0" applyBorder="1" applyFont="1"/>
    <xf borderId="3" fillId="0" fontId="18" numFmtId="0" xfId="0" applyAlignment="1" applyBorder="1" applyFont="1">
      <alignment readingOrder="0"/>
    </xf>
    <xf borderId="0" fillId="2" fontId="6" numFmtId="164" xfId="0" applyAlignment="1" applyFont="1" applyNumberFormat="1">
      <alignment readingOrder="0"/>
    </xf>
    <xf borderId="0" fillId="2" fontId="6" numFmtId="0" xfId="0" applyAlignment="1" applyFont="1">
      <alignment readingOrder="0"/>
    </xf>
    <xf borderId="0" fillId="2" fontId="6" numFmtId="169" xfId="0" applyAlignment="1" applyFont="1" applyNumberFormat="1">
      <alignment readingOrder="0"/>
    </xf>
    <xf borderId="0" fillId="2" fontId="6" numFmtId="0" xfId="0" applyFont="1"/>
    <xf borderId="0" fillId="2" fontId="19" numFmtId="0" xfId="0" applyAlignment="1" applyFont="1">
      <alignment readingOrder="0"/>
    </xf>
    <xf borderId="0" fillId="0" fontId="6" numFmtId="165" xfId="0" applyAlignment="1" applyFont="1" applyNumberFormat="1">
      <alignment readingOrder="0"/>
    </xf>
    <xf borderId="0" fillId="0" fontId="20" numFmtId="0" xfId="0" applyAlignment="1" applyFont="1">
      <alignment horizontal="left" readingOrder="0"/>
    </xf>
    <xf borderId="0" fillId="3" fontId="6" numFmtId="0" xfId="0" applyAlignment="1" applyFill="1" applyFont="1">
      <alignment readingOrder="0"/>
    </xf>
    <xf borderId="0" fillId="0" fontId="6" numFmtId="171" xfId="0" applyAlignment="1" applyFont="1" applyNumberFormat="1">
      <alignment readingOrder="0"/>
    </xf>
    <xf borderId="0" fillId="0" fontId="6" numFmtId="166" xfId="0" applyAlignment="1" applyFont="1" applyNumberFormat="1">
      <alignment readingOrder="0"/>
    </xf>
    <xf borderId="0" fillId="4" fontId="21" numFmtId="0" xfId="0" applyAlignment="1" applyFill="1" applyFont="1">
      <alignment readingOrder="0"/>
    </xf>
    <xf borderId="0" fillId="5" fontId="6" numFmtId="0" xfId="0" applyAlignment="1" applyFill="1" applyFont="1">
      <alignment readingOrder="0"/>
    </xf>
    <xf borderId="0" fillId="0" fontId="17"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vertical="bottom"/>
    </xf>
    <xf borderId="0" fillId="0" fontId="22" numFmtId="0" xfId="0" applyAlignment="1" applyFont="1">
      <alignment readingOrder="0"/>
    </xf>
    <xf borderId="0" fillId="0" fontId="23" numFmtId="0" xfId="0" applyAlignment="1" applyFont="1">
      <alignment shrinkToFit="0" vertical="bottom" wrapText="1"/>
    </xf>
    <xf borderId="0" fillId="0" fontId="22"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0" fontId="17" numFmtId="0" xfId="0" applyAlignment="1" applyFont="1">
      <alignment readingOrder="0" shrinkToFit="0" vertical="bottom" wrapText="1"/>
    </xf>
    <xf borderId="0" fillId="0" fontId="17" numFmtId="0" xfId="0" applyAlignment="1" applyFont="1">
      <alignment shrinkToFit="0" vertical="bottom" wrapText="1"/>
    </xf>
    <xf borderId="0" fillId="0" fontId="2" numFmtId="0" xfId="0" applyAlignment="1" applyFont="1">
      <alignment readingOrder="0" shrinkToFit="0" vertical="bottom" wrapText="1"/>
    </xf>
    <xf borderId="0" fillId="0" fontId="17"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amila Vargas Poulsen" id="{0909b9e9-bda1-48c7-9da6-9309d050d9b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54" dT="2021-03-12T19:17:52.00" personId="{0909b9e9-bda1-48c7-9da6-9309d050d9ba}" id="{8a4167b7-6016-4c86-9b33-5a663f415bc4}" done="1">
    <x18tc:text xml:space="preserve">include tribal?</x18tc:text>
  </x18tc:threadedComment>
  <x18tc:threadedComment ref="G31" dT="2021-03-09T06:21:44.00" personId="{0909b9e9-bda1-48c7-9da6-9309d050d9ba}" id="{5216c1cc-6d0d-4d27-9ce3-2622e3d3d341}" done="1">
    <x18tc:text xml:space="preserve">does not say a specific date of when it will open</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www.psmfc.org/crab/2007-2008%20files/Ltr%20to%20Fishers_12_20_07.pdf" TargetMode="External"/><Relationship Id="rId190" Type="http://schemas.openxmlformats.org/officeDocument/2006/relationships/hyperlink" Target="http://www.psmfc.org/crab/2016-2017%20files/CrabIndustryNotice%20020817.PDF" TargetMode="External"/><Relationship Id="rId42" Type="http://schemas.openxmlformats.org/officeDocument/2006/relationships/hyperlink" Target="http://www.psmfc.org/crab/2008-2009%20files/WA_Final_letter%20to%20fisher%2012-23-08.pdf" TargetMode="External"/><Relationship Id="rId41" Type="http://schemas.openxmlformats.org/officeDocument/2006/relationships/hyperlink" Target="http://www.psmfc.org/crab/2008-2009%20files/wa_Letter%20to%20Fishers_November%2024%2008.pdf" TargetMode="External"/><Relationship Id="rId44" Type="http://schemas.openxmlformats.org/officeDocument/2006/relationships/hyperlink" Target="http://www.psmfc.org/crab/2008-2009%20files/WA_Final_letter%20to%20fisher%2012-23-08.pdf" TargetMode="External"/><Relationship Id="rId194" Type="http://schemas.openxmlformats.org/officeDocument/2006/relationships/hyperlink" Target="http://www.psmfc.org/crab/2017-2018%20files/171122shellfish.pdf" TargetMode="External"/><Relationship Id="rId43" Type="http://schemas.openxmlformats.org/officeDocument/2006/relationships/hyperlink" Target="http://www.psmfc.org/crab/2008-2009%20files/WA_Final_letter%20to%20fisher%2012-23-08.pdf" TargetMode="External"/><Relationship Id="rId193" Type="http://schemas.openxmlformats.org/officeDocument/2006/relationships/hyperlink" Target="http://www.psmfc.org/crab/2017-2018%20files/2017-18_1DECDELAY_DCRAB_NORTHOPENER.pdf" TargetMode="External"/><Relationship Id="rId46" Type="http://schemas.openxmlformats.org/officeDocument/2006/relationships/hyperlink" Target="http://www.psmfc.org/crab/2008-2009%20files/2008-2009_January%208%202008%20letter%20to%20fishers.pdf" TargetMode="External"/><Relationship Id="rId192" Type="http://schemas.openxmlformats.org/officeDocument/2006/relationships/hyperlink" Target="http://www.psmfc.org/crab/2017-2018%20files/Industry%20Notice%2011.17.17.FINAL.pdf" TargetMode="External"/><Relationship Id="rId45" Type="http://schemas.openxmlformats.org/officeDocument/2006/relationships/hyperlink" Target="http://www.psmfc.org/crab/2008-2009%20files/WA_Final_letter%20to%20fisher%2012-23-08.pdf" TargetMode="External"/><Relationship Id="rId191" Type="http://schemas.openxmlformats.org/officeDocument/2006/relationships/hyperlink" Target="http://www.psmfc.org/crab/2016-2017%20files/CrabIndustryNotice%20021017%20FINAL.PDF" TargetMode="External"/><Relationship Id="rId48" Type="http://schemas.openxmlformats.org/officeDocument/2006/relationships/hyperlink" Target="http://www.psmfc.org/crab/2008-2009%20files/WA_Final_letter%20to%20fisher%2012-23-08.pdf" TargetMode="External"/><Relationship Id="rId187" Type="http://schemas.openxmlformats.org/officeDocument/2006/relationships/hyperlink" Target="http://www.psmfc.org/crab/2016-2017%20files/Industry%20Notice.02.10.17.Makah%20SMA.pdf" TargetMode="External"/><Relationship Id="rId47" Type="http://schemas.openxmlformats.org/officeDocument/2006/relationships/hyperlink" Target="http://www.psmfc.org/crab/2008-2009%20files/WA_Final_letter%20to%20fisher%2012-23-08.pdf" TargetMode="External"/><Relationship Id="rId186" Type="http://schemas.openxmlformats.org/officeDocument/2006/relationships/hyperlink" Target="http://www.psmfc.org/crab/2016-2017%20files/Industry%20Notice.02.10.17.Makah%20SMA.pdf" TargetMode="External"/><Relationship Id="rId185" Type="http://schemas.openxmlformats.org/officeDocument/2006/relationships/hyperlink" Target="http://www.psmfc.org/crab/2016-2017%20files/Industry%20Notice.%20North%20of%20Queets%20Open.2017.FINAL.pdf" TargetMode="External"/><Relationship Id="rId49" Type="http://schemas.openxmlformats.org/officeDocument/2006/relationships/hyperlink" Target="http://www.psmfc.org/crab/2008-2009%20files/WA_Final_letter%20to%20fisher%2012-23-08.pdf" TargetMode="External"/><Relationship Id="rId184" Type="http://schemas.openxmlformats.org/officeDocument/2006/relationships/hyperlink" Target="http://www.psmfc.org/crab/2016-2017%20files/Industry%20Notice.%20North%20of%20Queets%20Open.2017.FINAL.pdf" TargetMode="External"/><Relationship Id="rId189" Type="http://schemas.openxmlformats.org/officeDocument/2006/relationships/hyperlink" Target="http://www.psmfc.org/crab/2016-2017%20files/170202crab_closure.pdf" TargetMode="External"/><Relationship Id="rId188" Type="http://schemas.openxmlformats.org/officeDocument/2006/relationships/hyperlink" Target="http://www.psmfc.org/crab/2016-2017%20files/CrabIndustryNotice%20020217.pdf" TargetMode="External"/><Relationship Id="rId31" Type="http://schemas.openxmlformats.org/officeDocument/2006/relationships/hyperlink" Target="http://www.psmfc.org/crab/2007-2008%20files/Ltr%20to%20Fishers_12_20_07.pdf" TargetMode="External"/><Relationship Id="rId30" Type="http://schemas.openxmlformats.org/officeDocument/2006/relationships/hyperlink" Target="http://www.psmfc.org/crab/2007-2008%20files/Ltr%20to%20Fishers_12_20_07.pdf" TargetMode="External"/><Relationship Id="rId33" Type="http://schemas.openxmlformats.org/officeDocument/2006/relationships/hyperlink" Target="http://www.psmfc.org/crab/2007-2008%20files/Ltr%20to%20Fishers_12_20_07.pdf" TargetMode="External"/><Relationship Id="rId183" Type="http://schemas.openxmlformats.org/officeDocument/2006/relationships/hyperlink" Target="http://www.psmfc.org/crab/2016-2017%20files/Industry%20Notice.%20North%20of%20Queets%20Open.2017.FINAL.pdf" TargetMode="External"/><Relationship Id="rId32" Type="http://schemas.openxmlformats.org/officeDocument/2006/relationships/hyperlink" Target="http://www.psmfc.org/crab/2007-2008%20files/Ltr%20to%20Fishers_12_20_07.pdf" TargetMode="External"/><Relationship Id="rId182" Type="http://schemas.openxmlformats.org/officeDocument/2006/relationships/hyperlink" Target="http://www.psmfc.org/crab/2016-2017%20files/Industry%20Notice.%20North%20of%20Queets%20Open.2017.FINAL.pdf" TargetMode="External"/><Relationship Id="rId35" Type="http://schemas.openxmlformats.org/officeDocument/2006/relationships/hyperlink" Target="http://www.psmfc.org/crab/2007-2008%20files/Ltr%20to%20Fishers_12_20_07.pdf" TargetMode="External"/><Relationship Id="rId181" Type="http://schemas.openxmlformats.org/officeDocument/2006/relationships/hyperlink" Target="http://www.psmfc.org/crab/2016-2017%20files/January%207%20opening%20coast%20wide.pdf" TargetMode="External"/><Relationship Id="rId34" Type="http://schemas.openxmlformats.org/officeDocument/2006/relationships/hyperlink" Target="http://www.psmfc.org/crab/2007-2008%20files/Ltr%20to%20Fishers_12_20_07.pdf" TargetMode="External"/><Relationship Id="rId180" Type="http://schemas.openxmlformats.org/officeDocument/2006/relationships/hyperlink" Target="http://www.psmfc.org/crab/2016-2017%20files/January%207%20opening%20coast%20wide.pdf" TargetMode="External"/><Relationship Id="rId37" Type="http://schemas.openxmlformats.org/officeDocument/2006/relationships/hyperlink" Target="http://www.psmfc.org/crab/2007-2008%20files/Ltr%20to%20Fishers_12_20_07.pdf" TargetMode="External"/><Relationship Id="rId176" Type="http://schemas.openxmlformats.org/officeDocument/2006/relationships/hyperlink" Target="http://www.psmfc.org/crab/2016-2017%20files/IndustryNoticeNorthOpener_122116.pdf" TargetMode="External"/><Relationship Id="rId36" Type="http://schemas.openxmlformats.org/officeDocument/2006/relationships/hyperlink" Target="http://www.psmfc.org/crab/2007-2008%20files/Ltr%20to%20Fishers_12_20_07.pdf" TargetMode="External"/><Relationship Id="rId175" Type="http://schemas.openxmlformats.org/officeDocument/2006/relationships/hyperlink" Target="http://www.psmfc.org/crab/2016-2017%20files/IndustryNotice_120916.pdf" TargetMode="External"/><Relationship Id="rId39" Type="http://schemas.openxmlformats.org/officeDocument/2006/relationships/hyperlink" Target="http://www.psmfc.org/crab/2007-2008%20files/Ltr%20to%20Fishers_12_20_07.pdf" TargetMode="External"/><Relationship Id="rId174" Type="http://schemas.openxmlformats.org/officeDocument/2006/relationships/hyperlink" Target="http://www.psmfc.org/crab/2016-2017%20files/January%207%20opening%20coast%20wide.pdf" TargetMode="External"/><Relationship Id="rId38" Type="http://schemas.openxmlformats.org/officeDocument/2006/relationships/hyperlink" Target="http://www.psmfc.org/crab/2007-2008%20files/Ltr%20to%20Fishers_12_20_07.pdf" TargetMode="External"/><Relationship Id="rId173" Type="http://schemas.openxmlformats.org/officeDocument/2006/relationships/hyperlink" Target="http://www.psmfc.org/crab/2016-2017%20files/WA_11222016.pdf" TargetMode="External"/><Relationship Id="rId179" Type="http://schemas.openxmlformats.org/officeDocument/2006/relationships/hyperlink" Target="http://www.psmfc.org/crab/2016-2017%20files/Industry%20Notice.%20North%20of%20Queets%20Open.2017.FINAL.pdf" TargetMode="External"/><Relationship Id="rId178" Type="http://schemas.openxmlformats.org/officeDocument/2006/relationships/hyperlink" Target="http://www.psmfc.org/crab/2016-2017%20files/WA_openJan.pdf" TargetMode="External"/><Relationship Id="rId177" Type="http://schemas.openxmlformats.org/officeDocument/2006/relationships/hyperlink" Target="http://www.psmfc.org/crab/2016-2017%20files/WA_openJan.pdf" TargetMode="External"/><Relationship Id="rId20" Type="http://schemas.openxmlformats.org/officeDocument/2006/relationships/hyperlink" Target="http://www.psmfc.org/crab/2006-2007%20files/WA%20Nov%2022%202006%20ltr.pdf" TargetMode="External"/><Relationship Id="rId22" Type="http://schemas.openxmlformats.org/officeDocument/2006/relationships/hyperlink" Target="http://www.psmfc.org/crab/2007-2008%20files/DFG%20Defines%20San%20Francisco%20Bay%20Fishing%20Closure%20Zones.pdf" TargetMode="External"/><Relationship Id="rId21" Type="http://schemas.openxmlformats.org/officeDocument/2006/relationships/hyperlink" Target="http://www.psmfc.org/crab/2006-2007%20files/WA%20Nov%2022%202006%20ltr.pdf" TargetMode="External"/><Relationship Id="rId24" Type="http://schemas.openxmlformats.org/officeDocument/2006/relationships/hyperlink" Target="http://www.psmfc.org/crab/2007-2008%20files/WA%20Letter%20to%20Fishers%20Nov%2021%202007.pdf" TargetMode="External"/><Relationship Id="rId23" Type="http://schemas.openxmlformats.org/officeDocument/2006/relationships/hyperlink" Target="http://www.psmfc.org/crab/2007-2008%20files/DFG%20Defines%20San%20Francisco%20Bay%20Fishing%20Closure%20Zones.pdf" TargetMode="External"/><Relationship Id="rId26" Type="http://schemas.openxmlformats.org/officeDocument/2006/relationships/hyperlink" Target="http://www.psmfc.org/crab/2007-2008%20files/Ltr%20to%20Fishers_12_20_07.pdf" TargetMode="External"/><Relationship Id="rId25" Type="http://schemas.openxmlformats.org/officeDocument/2006/relationships/hyperlink" Target="http://www.psmfc.org/crab/2007-2008%20files/Ltr%20to%20Fishers_12_20_07.pdf" TargetMode="External"/><Relationship Id="rId28" Type="http://schemas.openxmlformats.org/officeDocument/2006/relationships/hyperlink" Target="http://www.psmfc.org/crab/2007-2008%20files/Ltr%20to%20Fishers_12_20_07.pdf" TargetMode="External"/><Relationship Id="rId27" Type="http://schemas.openxmlformats.org/officeDocument/2006/relationships/hyperlink" Target="http://www.psmfc.org/crab/2007-2008%20files/CA%20Pre-Soak2007.pdf" TargetMode="External"/><Relationship Id="rId29" Type="http://schemas.openxmlformats.org/officeDocument/2006/relationships/hyperlink" Target="http://www.psmfc.org/crab/2007-2008%20files/Ltr%20to%20Fishers_12_20_07.pdf" TargetMode="External"/><Relationship Id="rId11" Type="http://schemas.openxmlformats.org/officeDocument/2006/relationships/hyperlink" Target="http://www.psmfc.org/crab/2005-2006%20files/Notice%20to%20Fishers%20and%20Processors%20opening%20info.pdf" TargetMode="External"/><Relationship Id="rId10" Type="http://schemas.openxmlformats.org/officeDocument/2006/relationships/hyperlink" Target="http://www.psmfc.org/crab/2005-2006%20files/Notice%20to%20Fishers%20and%20Processors%20opening%20info.pdf" TargetMode="External"/><Relationship Id="rId13" Type="http://schemas.openxmlformats.org/officeDocument/2006/relationships/hyperlink" Target="http://www.psmfc.org/crab/2006-2007%20files/WA%20Nov%2022%202006%20ltr.pdf" TargetMode="External"/><Relationship Id="rId12" Type="http://schemas.openxmlformats.org/officeDocument/2006/relationships/hyperlink" Target="http://www.psmfc.org/crab/2006-2007%20files/2006-07%20season%20mailing%2011%2022%2006%20FINAL.pdf" TargetMode="External"/><Relationship Id="rId15" Type="http://schemas.openxmlformats.org/officeDocument/2006/relationships/hyperlink" Target="http://www.psmfc.org/crab/2006-2007%20files/WA%20Nov%2022%202006%20ltr.pdf" TargetMode="External"/><Relationship Id="rId198" Type="http://schemas.openxmlformats.org/officeDocument/2006/relationships/hyperlink" Target="http://www.psmfc.org/crab/2017-2018%20files/Nof%20Klipsanopener.01.18.FINAL.pdf" TargetMode="External"/><Relationship Id="rId14" Type="http://schemas.openxmlformats.org/officeDocument/2006/relationships/hyperlink" Target="http://www.psmfc.org/crab/2006-2007%20files/WA%20Nov%2022%202006%20ltr.pdf" TargetMode="External"/><Relationship Id="rId197" Type="http://schemas.openxmlformats.org/officeDocument/2006/relationships/hyperlink" Target="http://www.psmfc.org/crab/2017-2018%20files/Nof%20Klipsanopener.01.18.FINAL.pdf" TargetMode="External"/><Relationship Id="rId17" Type="http://schemas.openxmlformats.org/officeDocument/2006/relationships/hyperlink" Target="http://www.psmfc.org/crab/2006-2007%20files/WA%20Nov%2022%202006%20ltr.pdf" TargetMode="External"/><Relationship Id="rId196" Type="http://schemas.openxmlformats.org/officeDocument/2006/relationships/hyperlink" Target="http://www.psmfc.org/crab/2017-2018%20files/Nof%20Klipsanopener.01.18.FINAL.pdf" TargetMode="External"/><Relationship Id="rId16" Type="http://schemas.openxmlformats.org/officeDocument/2006/relationships/hyperlink" Target="http://www.psmfc.org/crab/2007-2008%20files/Ltr%20to%20Fishers_12_20_07.pdf" TargetMode="External"/><Relationship Id="rId195" Type="http://schemas.openxmlformats.org/officeDocument/2006/relationships/hyperlink" Target="http://www.psmfc.org/crab/2017-2018%20files/Industry%20Notice%2012.7.17.FINAL.pdf" TargetMode="External"/><Relationship Id="rId19" Type="http://schemas.openxmlformats.org/officeDocument/2006/relationships/hyperlink" Target="http://www.psmfc.org/crab/2006-2007%20files/WA%20Nov%2022%202006%20ltr.pdf" TargetMode="External"/><Relationship Id="rId18" Type="http://schemas.openxmlformats.org/officeDocument/2006/relationships/hyperlink" Target="http://www.psmfc.org/crab/2006-2007%20files/WA%20Nov%2022%202006%20ltr.pdf" TargetMode="External"/><Relationship Id="rId199" Type="http://schemas.openxmlformats.org/officeDocument/2006/relationships/hyperlink" Target="http://www.psmfc.org/crab/2017-2018%20files/Nof%20Klipsanopener.01.18.FINAL.pdf" TargetMode="External"/><Relationship Id="rId84" Type="http://schemas.openxmlformats.org/officeDocument/2006/relationships/hyperlink" Target="http://www.psmfc.org/crab/2010-2011%20Files/Industry_Notice_Quileute_SMA04272011.pdf" TargetMode="External"/><Relationship Id="rId83" Type="http://schemas.openxmlformats.org/officeDocument/2006/relationships/hyperlink" Target="http://www.psmfc.org/crab/2010-2011%20Files/WA_letter_to_fishers_12_06_10_FINAL.pdf" TargetMode="External"/><Relationship Id="rId86" Type="http://schemas.openxmlformats.org/officeDocument/2006/relationships/hyperlink" Target="http://www.psmfc.org/crab/2010-2011%20Files/WA_letter_to_fishers_12_06_10_FINAL.pdf" TargetMode="External"/><Relationship Id="rId85" Type="http://schemas.openxmlformats.org/officeDocument/2006/relationships/hyperlink" Target="http://www.psmfc.org/crab/2010-2011%20Files/Industry_Notice_Quileute_SMA04272011.pdf" TargetMode="External"/><Relationship Id="rId88" Type="http://schemas.openxmlformats.org/officeDocument/2006/relationships/hyperlink" Target="http://www.psmfc.org/crab/2010-2011%20Files/WA_letter_to_fishers_12_06_10_FINAL.pdf" TargetMode="External"/><Relationship Id="rId150" Type="http://schemas.openxmlformats.org/officeDocument/2006/relationships/hyperlink" Target="http://www.psmfc.org/crab/2014-2015%20files/WANorthofDI01092015.pdf" TargetMode="External"/><Relationship Id="rId271" Type="http://schemas.openxmlformats.org/officeDocument/2006/relationships/hyperlink" Target="https://www.psmfc.org/crab/2024-2025%20files/20241121_Industry_Notice_Season_Delay.pdf" TargetMode="External"/><Relationship Id="rId87" Type="http://schemas.openxmlformats.org/officeDocument/2006/relationships/hyperlink" Target="http://www.psmfc.org/crab/2010-2011%20Files/WA_letter_to_fishers_12_06_10_FINAL.pdf" TargetMode="External"/><Relationship Id="rId270" Type="http://schemas.openxmlformats.org/officeDocument/2006/relationships/hyperlink" Target="https://www.psmfc.org/crab/2023-2024%20files/20240321_Industry_Notice_summer%20buoy%20tags.pdf" TargetMode="External"/><Relationship Id="rId89" Type="http://schemas.openxmlformats.org/officeDocument/2006/relationships/hyperlink" Target="http://www.psmfc.org/crab/2010-2011%20Files/OR_2010_Closure_Notice_12_10_10.pdf" TargetMode="External"/><Relationship Id="rId80" Type="http://schemas.openxmlformats.org/officeDocument/2006/relationships/hyperlink" Target="http://www.psmfc.org/crab/2010-2011%20Files/WA_letter_to_fishers_12_06_10_FINAL.pdf" TargetMode="External"/><Relationship Id="rId82" Type="http://schemas.openxmlformats.org/officeDocument/2006/relationships/hyperlink" Target="http://www.psmfc.org/crab/2010-2011%20Files/WA_letter_to_fishers_12_06_10_FINAL.pdf" TargetMode="External"/><Relationship Id="rId81" Type="http://schemas.openxmlformats.org/officeDocument/2006/relationships/hyperlink" Target="http://www.psmfc.org/crab/2010-2011%20Files/WA_letter_to_fishers_12_06_10_FINAL.pdf"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www.psmfc.org/crab/2014-2015%20files/WANorthofDI01092015.pdf" TargetMode="External"/><Relationship Id="rId4" Type="http://schemas.openxmlformats.org/officeDocument/2006/relationships/hyperlink" Target="http://www.psmfc.org/crab/2004CrabRevisedOpenerNotice12804.pdf" TargetMode="External"/><Relationship Id="rId148" Type="http://schemas.openxmlformats.org/officeDocument/2006/relationships/hyperlink" Target="http://www.psmfc.org/crab/2014-2015%20files/WA_12022014LTF.pdf" TargetMode="External"/><Relationship Id="rId269" Type="http://schemas.openxmlformats.org/officeDocument/2006/relationships/hyperlink" Target="https://www.psmfc.org/crab/2023-2024%20files/20240118_Industry_Notice_Coastwide%20Opener.pdf" TargetMode="External"/><Relationship Id="rId9" Type="http://schemas.openxmlformats.org/officeDocument/2006/relationships/hyperlink" Target="http://www.psmfc.org/crab/2005-2006%20files/Notice%20to%20Fishers%20and%20Processors%20opening%20info.pdf" TargetMode="External"/><Relationship Id="rId143" Type="http://schemas.openxmlformats.org/officeDocument/2006/relationships/hyperlink" Target="http://www.psmfc.org/crab/2014-2015%20files/WA_12022014LTF.pdf" TargetMode="External"/><Relationship Id="rId264" Type="http://schemas.openxmlformats.org/officeDocument/2006/relationships/hyperlink" Target="https://www.psmfc.org/crab/2022-2023%20files/industrynoticeorderingsummerbuoy_tags_2023.pdf" TargetMode="External"/><Relationship Id="rId142" Type="http://schemas.openxmlformats.org/officeDocument/2006/relationships/hyperlink" Target="http://www.psmfc.org/crab/2014-2015%20files/WA_12022014LTF.pdf" TargetMode="External"/><Relationship Id="rId263" Type="http://schemas.openxmlformats.org/officeDocument/2006/relationships/hyperlink" Target="https://www.psmfc.org/crab/2022-2023%20files/Industry%20Notice%20N%20of%20Klipsan%20opener.2022.23.FINAL.pdf" TargetMode="External"/><Relationship Id="rId141" Type="http://schemas.openxmlformats.org/officeDocument/2006/relationships/hyperlink" Target="http://www.psmfc.org/crab/2014-2015%20files/WA_11222014LTF.pdf" TargetMode="External"/><Relationship Id="rId262" Type="http://schemas.openxmlformats.org/officeDocument/2006/relationships/hyperlink" Target="https://www.psmfc.org/crab/2022-2023%20files/industry%20notice_season.FEB.1.OPEN.to.Cape.Falcon.%2001.06.23.FINAL.pdf" TargetMode="External"/><Relationship Id="rId140" Type="http://schemas.openxmlformats.org/officeDocument/2006/relationships/hyperlink" Target="http://www.psmfc.org/crab/2014-2015%20files/2014Dec1OpenerIndustryNotice.pdf" TargetMode="External"/><Relationship Id="rId261" Type="http://schemas.openxmlformats.org/officeDocument/2006/relationships/hyperlink" Target="https://www.psmfc.org/crab/2022-2023%20files/industry%20notice_season%20delay%2012-22-22.FINAL.pdf" TargetMode="External"/><Relationship Id="rId5" Type="http://schemas.openxmlformats.org/officeDocument/2006/relationships/hyperlink" Target="http://www.psmfc.org/crab/120804DelayedOpeningDate.pdf" TargetMode="External"/><Relationship Id="rId147" Type="http://schemas.openxmlformats.org/officeDocument/2006/relationships/hyperlink" Target="http://www.psmfc.org/crab/2014-2015%20files/WA_12022014LTF.pdf" TargetMode="External"/><Relationship Id="rId268" Type="http://schemas.openxmlformats.org/officeDocument/2006/relationships/hyperlink" Target="https://www.psmfc.org/crab/2023-2024%20files/20240105_Industry_Notice_Season_South_Opener.pdf" TargetMode="External"/><Relationship Id="rId6" Type="http://schemas.openxmlformats.org/officeDocument/2006/relationships/hyperlink" Target="http://www.psmfc.org/crab/CrabThirdOpenerNotice122104.pdf" TargetMode="External"/><Relationship Id="rId146" Type="http://schemas.openxmlformats.org/officeDocument/2006/relationships/hyperlink" Target="http://www.psmfc.org/crab/2014-2015%20files/WANorthofDI01092015.pdf" TargetMode="External"/><Relationship Id="rId267" Type="http://schemas.openxmlformats.org/officeDocument/2006/relationships/hyperlink" Target="https://www.psmfc.org/crab/2023-2024%20files/20231220_WDFW_Crab_Industry_Notice-Season-Delay.pdf" TargetMode="External"/><Relationship Id="rId7" Type="http://schemas.openxmlformats.org/officeDocument/2006/relationships/hyperlink" Target="https://www.psmfc.org/crab/2008-2009%20files/WA_buyback_09.pdf" TargetMode="External"/><Relationship Id="rId145" Type="http://schemas.openxmlformats.org/officeDocument/2006/relationships/hyperlink" Target="http://www.psmfc.org/crab/2014-2015%20files/WA_12022014LTF.pdf" TargetMode="External"/><Relationship Id="rId266" Type="http://schemas.openxmlformats.org/officeDocument/2006/relationships/hyperlink" Target="https://www.psmfc.org/crab/2023-2024%20files/industry%20notice_season%20delay%2012-6-23.pdf" TargetMode="External"/><Relationship Id="rId8" Type="http://schemas.openxmlformats.org/officeDocument/2006/relationships/hyperlink" Target="http://www.psmfc.org/crab/2005-2006%20files/WA_Notice%20to%20Fishers%20Processors%20Nov%20Test%20Results.pdf" TargetMode="External"/><Relationship Id="rId144" Type="http://schemas.openxmlformats.org/officeDocument/2006/relationships/hyperlink" Target="http://www.psmfc.org/crab/2014-2015%20files/WA_12022014LTF.pdf" TargetMode="External"/><Relationship Id="rId265" Type="http://schemas.openxmlformats.org/officeDocument/2006/relationships/hyperlink" Target="https://www.psmfc.org/crab/2023-2024%20files/Industry%20Notice_Season%20Delay%202023.pdf" TargetMode="External"/><Relationship Id="rId73" Type="http://schemas.openxmlformats.org/officeDocument/2006/relationships/hyperlink" Target="http://www.psmfc.org/crab/2009-2010%20files/WA%20Industry%20Notice.01.08.10.pdf" TargetMode="External"/><Relationship Id="rId72" Type="http://schemas.openxmlformats.org/officeDocument/2006/relationships/hyperlink" Target="http://www.psmfc.org/crab/2009-2010%20files/WA%20Industry%20Notice.01.08.10.pdf" TargetMode="External"/><Relationship Id="rId75" Type="http://schemas.openxmlformats.org/officeDocument/2006/relationships/hyperlink" Target="http://www.psmfc.org/crab/2010-2011%20Files/WA_letter_to_fishers_12_06_10_FINAL.pdf" TargetMode="External"/><Relationship Id="rId74" Type="http://schemas.openxmlformats.org/officeDocument/2006/relationships/hyperlink" Target="http://www.psmfc.org/crab/2010-2011%20Files/WA_letter_to_fishers_12_06_10_FINAL.pdf" TargetMode="External"/><Relationship Id="rId77" Type="http://schemas.openxmlformats.org/officeDocument/2006/relationships/hyperlink" Target="http://www.psmfc.org/crab/2010-2011%20Files/WA_letter_to_fishers_12_06_10_FINAL.pdf" TargetMode="External"/><Relationship Id="rId260" Type="http://schemas.openxmlformats.org/officeDocument/2006/relationships/hyperlink" Target="https://www.psmfc.org/crab/2022-2023%20files/industry%20notice_season%20delay%2012-7-22.pdf" TargetMode="External"/><Relationship Id="rId76" Type="http://schemas.openxmlformats.org/officeDocument/2006/relationships/hyperlink" Target="http://www.psmfc.org/crab/2010-2011%20Files/WA_letter_to_fishers_12_06_10_FINAL.pdf" TargetMode="External"/><Relationship Id="rId79" Type="http://schemas.openxmlformats.org/officeDocument/2006/relationships/hyperlink" Target="http://www.psmfc.org/crab/2010-2011%20Files/WA_letter_to_fishers_12_06_10_FINAL.pdf" TargetMode="External"/><Relationship Id="rId78" Type="http://schemas.openxmlformats.org/officeDocument/2006/relationships/hyperlink" Target="http://www.psmfc.org/crab/2010-2011%20Files/WA_letter_to_fishers_12_06_10_FINAL.pdf" TargetMode="External"/><Relationship Id="rId71" Type="http://schemas.openxmlformats.org/officeDocument/2006/relationships/hyperlink" Target="http://www.psmfc.org/crab/2009-2010%20files/letter%20to%20fishers%2012%2018%2009_FINAL.pdf" TargetMode="External"/><Relationship Id="rId70" Type="http://schemas.openxmlformats.org/officeDocument/2006/relationships/hyperlink" Target="http://www.psmfc.org/crab/2009-2010%20files/letter%20to%20fishers%2012%2018%2009_FINAL.pdf" TargetMode="External"/><Relationship Id="rId139" Type="http://schemas.openxmlformats.org/officeDocument/2006/relationships/hyperlink" Target="https://wdfw.wa.gov/sites/default/files/fishing/commercial/crab/coastal/letters/letter_dec27_2013.pdf" TargetMode="External"/><Relationship Id="rId138" Type="http://schemas.openxmlformats.org/officeDocument/2006/relationships/hyperlink" Target="https://wdfw.wa.gov/sites/default/files/fishing/commercial/crab/coastal/letters/letter_dec27_2013.pdf" TargetMode="External"/><Relationship Id="rId259" Type="http://schemas.openxmlformats.org/officeDocument/2006/relationships/hyperlink" Target="https://www.psmfc.org/crab/2022-2023%20files/Industry%20Notice_Season%20Delay%202022.pdf" TargetMode="External"/><Relationship Id="rId137" Type="http://schemas.openxmlformats.org/officeDocument/2006/relationships/hyperlink" Target="https://wdfw.wa.gov/sites/default/files/fishing/commercial/crab/coastal/letters/letter_dec27_2013.pdf" TargetMode="External"/><Relationship Id="rId258" Type="http://schemas.openxmlformats.org/officeDocument/2006/relationships/hyperlink" Target="https://www.psmfc.org/crab/2020-2021%20files/WA_industrynoticeorderingsummerbuoy_tags_2021.pdf" TargetMode="External"/><Relationship Id="rId132" Type="http://schemas.openxmlformats.org/officeDocument/2006/relationships/hyperlink" Target="https://wdfw.wa.gov/sites/default/files/fishing/commercial/crab/coastal/letters/letter_dec27_2013.pdf" TargetMode="External"/><Relationship Id="rId253" Type="http://schemas.openxmlformats.org/officeDocument/2006/relationships/hyperlink" Target="http://www.psmfc.org/crab/2020-2021%20files/WA_Industry%20Notice%2004.12.21.open.QIN.SMA%20to%20Joe%20Creek_FINAL.pdf" TargetMode="External"/><Relationship Id="rId131" Type="http://schemas.openxmlformats.org/officeDocument/2006/relationships/hyperlink" Target="https://wdfw.wa.gov/sites/default/files/fishing/commercial/crab/coastal/letters/letter_dec27_2013.pdf" TargetMode="External"/><Relationship Id="rId252" Type="http://schemas.openxmlformats.org/officeDocument/2006/relationships/hyperlink" Target="http://www.psmfc.org/crab/2020-2021%20files/WA_Industry%20Notice%2004.12.21.open.QIN.SMA%20to%20Joe%20Creek_FINAL.pdf" TargetMode="External"/><Relationship Id="rId130" Type="http://schemas.openxmlformats.org/officeDocument/2006/relationships/hyperlink" Target="https://wdfw.wa.gov/sites/default/files/fishing/commercial/crab/coastal/letters/letter_dec05_2013.pdf" TargetMode="External"/><Relationship Id="rId251" Type="http://schemas.openxmlformats.org/officeDocument/2006/relationships/hyperlink" Target="http://www.psmfc.org/crab/2020-2021%20files/WA_Industry%20Notice%2004.12.21.open.QIN.SMA%20to%20Joe%20Creek_FINAL.pdf" TargetMode="External"/><Relationship Id="rId250" Type="http://schemas.openxmlformats.org/officeDocument/2006/relationships/hyperlink" Target="http://www.psmfc.org/crab/2020-2021%20files/WA_Industry.Notice.03.30.21.open%20northen%20portion%20QIN.SMA.pdf" TargetMode="External"/><Relationship Id="rId136" Type="http://schemas.openxmlformats.org/officeDocument/2006/relationships/hyperlink" Target="https://wdfw.wa.gov/sites/default/files/fishing/commercial/crab/coastal/letters/letter_dec27_2013.pdf" TargetMode="External"/><Relationship Id="rId257" Type="http://schemas.openxmlformats.org/officeDocument/2006/relationships/hyperlink" Target="https://www.psmfc.org/crab/2020-2021%20files/WA_industrynoticeorderingsummerbuoy_tags_2021.pdf" TargetMode="External"/><Relationship Id="rId135" Type="http://schemas.openxmlformats.org/officeDocument/2006/relationships/hyperlink" Target="https://wdfw.wa.gov/sites/default/files/fishing/commercial/crab/coastal/letters/letter_dec27_2013.pdf" TargetMode="External"/><Relationship Id="rId256" Type="http://schemas.openxmlformats.org/officeDocument/2006/relationships/hyperlink" Target="http://www.psmfc.org/crab/2020-2021%20files/WA_Industry.Notice.Season.04.15.21.FINAL.pdf" TargetMode="External"/><Relationship Id="rId134" Type="http://schemas.openxmlformats.org/officeDocument/2006/relationships/hyperlink" Target="https://wdfw.wa.gov/sites/default/files/fishing/commercial/crab/coastal/letters/letter_dec27_2013.pdf" TargetMode="External"/><Relationship Id="rId255" Type="http://schemas.openxmlformats.org/officeDocument/2006/relationships/hyperlink" Target="http://www.psmfc.org/crab/2020-2021%20files/WA_Industry.Notice.Season.04.05.21.FINAL.pdf" TargetMode="External"/><Relationship Id="rId133" Type="http://schemas.openxmlformats.org/officeDocument/2006/relationships/hyperlink" Target="https://wdfw.wa.gov/sites/default/files/fishing/commercial/crab/coastal/letters/letter_dec27_2013.pdf" TargetMode="External"/><Relationship Id="rId254" Type="http://schemas.openxmlformats.org/officeDocument/2006/relationships/hyperlink" Target="http://www.psmfc.org/crab/2020-2021%20files/WA_Industry.Notice.Season.03.01.21.FINAL.pdf" TargetMode="External"/><Relationship Id="rId62" Type="http://schemas.openxmlformats.org/officeDocument/2006/relationships/hyperlink" Target="http://www.psmfc.org/crab/2009-2010%20files/letter%20to%20fishers%2012%2018%2009_FINAL.pdf" TargetMode="External"/><Relationship Id="rId61" Type="http://schemas.openxmlformats.org/officeDocument/2006/relationships/hyperlink" Target="http://www.psmfc.org/crab/2009-2010%20files/letter%20to%20fishers%2012%2018%2009_FINAL.pdf" TargetMode="External"/><Relationship Id="rId64" Type="http://schemas.openxmlformats.org/officeDocument/2006/relationships/hyperlink" Target="http://www.psmfc.org/crab/2009-2010%20files/WA%20Industry%20Notice.01.08.10.pdf" TargetMode="External"/><Relationship Id="rId63" Type="http://schemas.openxmlformats.org/officeDocument/2006/relationships/hyperlink" Target="http://www.psmfc.org/crab/2009-2010%20files/letter%20to%20fishers%2012%2018%2009_FINAL.pdf" TargetMode="External"/><Relationship Id="rId66" Type="http://schemas.openxmlformats.org/officeDocument/2006/relationships/hyperlink" Target="http://www.psmfc.org/crab/2009-2010%20files/letter%20to%20fishers%2012%2018%2009_FINAL.pdf" TargetMode="External"/><Relationship Id="rId172" Type="http://schemas.openxmlformats.org/officeDocument/2006/relationships/hyperlink" Target="http://www.psmfc.org/crab/2016-2017%20files/OR_11222016.pdf" TargetMode="External"/><Relationship Id="rId65" Type="http://schemas.openxmlformats.org/officeDocument/2006/relationships/hyperlink" Target="http://www.psmfc.org/crab/2009-2010%20files/letter%20to%20fishers%2012%2018%2009_FINAL.pdf" TargetMode="External"/><Relationship Id="rId171" Type="http://schemas.openxmlformats.org/officeDocument/2006/relationships/hyperlink" Target="http://www.psmfc.org/crab/2016-2017%20files/Recreational%20crabbing%20closed%20from%20Tillamook%20Head%20to%20California%20border.pdf" TargetMode="External"/><Relationship Id="rId68" Type="http://schemas.openxmlformats.org/officeDocument/2006/relationships/hyperlink" Target="http://www.psmfc.org/crab/2009-2010%20files/letter%20to%20fishers%2012%2018%2009_FINAL.pdf" TargetMode="External"/><Relationship Id="rId170" Type="http://schemas.openxmlformats.org/officeDocument/2006/relationships/hyperlink" Target="https://wdfw.wa.gov/sites/default/files/fishing/commercial/crab/coastal/2016/notice_26jan16.pdf" TargetMode="External"/><Relationship Id="rId67" Type="http://schemas.openxmlformats.org/officeDocument/2006/relationships/hyperlink" Target="http://www.psmfc.org/crab/2009-2010%20files/letter%20to%20fishers%2012%2018%2009_FINAL.pdf" TargetMode="External"/><Relationship Id="rId60" Type="http://schemas.openxmlformats.org/officeDocument/2006/relationships/hyperlink" Target="http://www.psmfc.org/crab/2009-2010%20files/letter%20to%20fishers%2012%2018%2009_FINAL.pdf" TargetMode="External"/><Relationship Id="rId165" Type="http://schemas.openxmlformats.org/officeDocument/2006/relationships/hyperlink" Target="https://wdfw.wa.gov/sites/default/files/fishing/commercial/crab/coastal/2016/notice_26jan16.pdf" TargetMode="External"/><Relationship Id="rId69" Type="http://schemas.openxmlformats.org/officeDocument/2006/relationships/hyperlink" Target="http://www.psmfc.org/crab/2009-2010%20files/letter%20to%20fishers%2012%2018%2009_FINAL.pdf" TargetMode="External"/><Relationship Id="rId164" Type="http://schemas.openxmlformats.org/officeDocument/2006/relationships/hyperlink" Target="https://wdfw.wa.gov/sites/default/files/fishing/commercial/crab/coastal/2016/notice_26jan16.pdf" TargetMode="External"/><Relationship Id="rId163" Type="http://schemas.openxmlformats.org/officeDocument/2006/relationships/hyperlink" Target="https://wdfw.wa.gov/sites/default/files/fishing/commercial/crab/coastal/letters/letter_dec21_2015.pdf" TargetMode="External"/><Relationship Id="rId162" Type="http://schemas.openxmlformats.org/officeDocument/2006/relationships/hyperlink" Target="https://wdfw.wa.gov/sites/default/files/fishing/commercial/crab/coastal/letters/letter_dec21_2015.pdf" TargetMode="External"/><Relationship Id="rId169" Type="http://schemas.openxmlformats.org/officeDocument/2006/relationships/hyperlink" Target="https://wdfw.wa.gov/sites/default/files/fishing/commercial/crab/coastal/2016/notice_26jan16.pdf" TargetMode="External"/><Relationship Id="rId168" Type="http://schemas.openxmlformats.org/officeDocument/2006/relationships/hyperlink" Target="https://wdfw.wa.gov/sites/default/files/fishing/commercial/crab/coastal/2016/notice_26jan16.pdf" TargetMode="External"/><Relationship Id="rId167" Type="http://schemas.openxmlformats.org/officeDocument/2006/relationships/hyperlink" Target="https://wdfw.wa.gov/sites/default/files/fishing/commercial/crab/coastal/2016/notice_26jan16.pdf" TargetMode="External"/><Relationship Id="rId166" Type="http://schemas.openxmlformats.org/officeDocument/2006/relationships/hyperlink" Target="https://wdfw.wa.gov/sites/default/files/fishing/commercial/crab/coastal/2016/notice_26jan16.pdf" TargetMode="External"/><Relationship Id="rId51" Type="http://schemas.openxmlformats.org/officeDocument/2006/relationships/hyperlink" Target="http://www.psmfc.org/crab/2008-2009%20files/WA_Final_letter%20to%20fisher%2012-23-08.pdf" TargetMode="External"/><Relationship Id="rId50" Type="http://schemas.openxmlformats.org/officeDocument/2006/relationships/hyperlink" Target="http://www.psmfc.org/crab/2008-2009%20files/WA_Final_letter%20to%20fisher%2012-23-08.pdf" TargetMode="External"/><Relationship Id="rId53" Type="http://schemas.openxmlformats.org/officeDocument/2006/relationships/hyperlink" Target="http://www.psmfc.org/crab/2008-2009%20files/2008-2009_January%208%202008%20letter%20to%20fishers.pdf" TargetMode="External"/><Relationship Id="rId52" Type="http://schemas.openxmlformats.org/officeDocument/2006/relationships/hyperlink" Target="http://www.psmfc.org/crab/2008-2009%20files/2008-2009_January%208%202008%20letter%20to%20fishers.pdf" TargetMode="External"/><Relationship Id="rId55" Type="http://schemas.openxmlformats.org/officeDocument/2006/relationships/hyperlink" Target="http://www.psmfc.org/crab/2008-2009%20files/2008-2009_January%208%202008%20letter%20to%20fishers.pdf" TargetMode="External"/><Relationship Id="rId161" Type="http://schemas.openxmlformats.org/officeDocument/2006/relationships/hyperlink" Target="https://wdfw.wa.gov/sites/default/files/fishing/commercial/crab/coastal/letters/letter_dec21_2015.pdf" TargetMode="External"/><Relationship Id="rId54" Type="http://schemas.openxmlformats.org/officeDocument/2006/relationships/hyperlink" Target="http://www.psmfc.org/crab/2008-2009%20files/2008-2009%20Industry%20Notice_Quileute%20SMA%20opener.pdf" TargetMode="External"/><Relationship Id="rId160" Type="http://schemas.openxmlformats.org/officeDocument/2006/relationships/hyperlink" Target="https://wdfw.wa.gov/sites/default/files/fishing/commercial/crab/coastal/letters/letter_dec21_2015.pdf" TargetMode="External"/><Relationship Id="rId57" Type="http://schemas.openxmlformats.org/officeDocument/2006/relationships/hyperlink" Target="http://www.psmfc.org/crab/2008-2009%20files/2008-2009_Industry%20Notice%20Makah%20SMA%20registration.pdf" TargetMode="External"/><Relationship Id="rId56" Type="http://schemas.openxmlformats.org/officeDocument/2006/relationships/hyperlink" Target="http://www.psmfc.org/crab/2008-2009%20files/2008-2009_January%208%202008%20letter%20to%20fishers.pdf" TargetMode="External"/><Relationship Id="rId159" Type="http://schemas.openxmlformats.org/officeDocument/2006/relationships/hyperlink" Target="https://wdfw.wa.gov/sites/default/files/fishing/commercial/crab/coastal/letters/letter_dec21_2015.pdf" TargetMode="External"/><Relationship Id="rId59" Type="http://schemas.openxmlformats.org/officeDocument/2006/relationships/hyperlink" Target="http://www.psmfc.org/crab/2009-2010%20files/letter%20to%20fishers%2012%2018%2009_FINAL.pdf" TargetMode="External"/><Relationship Id="rId154" Type="http://schemas.openxmlformats.org/officeDocument/2006/relationships/hyperlink" Target="http://www.psmfc.org/crab/2014-2015%20files/WA_02112015.pdf" TargetMode="External"/><Relationship Id="rId275" Type="http://schemas.openxmlformats.org/officeDocument/2006/relationships/hyperlink" Target="https://old.psmfc.org/crab/2024-2025%20files/20250127_Industry_Notice_Season_Opener_North_of_Klipsan.pdf" TargetMode="External"/><Relationship Id="rId58" Type="http://schemas.openxmlformats.org/officeDocument/2006/relationships/hyperlink" Target="http://www.psmfc.org/crab/2008-2009%20files/Industry%20Notice_Raft%20River%20to%20Split%20Rock%206%2009.pdf" TargetMode="External"/><Relationship Id="rId153" Type="http://schemas.openxmlformats.org/officeDocument/2006/relationships/hyperlink" Target="http://www.psmfc.org/crab/2014-2015%20files/WANorthofDI01092015.pdf" TargetMode="External"/><Relationship Id="rId274" Type="http://schemas.openxmlformats.org/officeDocument/2006/relationships/hyperlink" Target="https://www.psmfc.org/crab/2024-2025%20files/20250108_Industry_Notice_Season_Opener_South_of_Klipsan.pdf" TargetMode="External"/><Relationship Id="rId152" Type="http://schemas.openxmlformats.org/officeDocument/2006/relationships/hyperlink" Target="http://www.psmfc.org/crab/2014-2015%20files/WANorthofDI01092015.pdf" TargetMode="External"/><Relationship Id="rId273" Type="http://schemas.openxmlformats.org/officeDocument/2006/relationships/hyperlink" Target="https://www.psmfc.org/crab/2024-2025%20files/20241223_Industry_Notice_Season_Delay.pdf" TargetMode="External"/><Relationship Id="rId151" Type="http://schemas.openxmlformats.org/officeDocument/2006/relationships/hyperlink" Target="http://www.psmfc.org/crab/2014-2015%20files/WANorthofDI01092015.pdf" TargetMode="External"/><Relationship Id="rId272" Type="http://schemas.openxmlformats.org/officeDocument/2006/relationships/hyperlink" Target="https://www.psmfc.org/crab/2024-2025%20files/20241206_Industry_Notice_Season_Delay.pdf" TargetMode="External"/><Relationship Id="rId158" Type="http://schemas.openxmlformats.org/officeDocument/2006/relationships/hyperlink" Target="https://wdfw.wa.gov/sites/default/files/fishing/commercial/crab/coastal/letters/letter_nov2415.pdf" TargetMode="External"/><Relationship Id="rId157" Type="http://schemas.openxmlformats.org/officeDocument/2006/relationships/hyperlink" Target="http://www.psmfc.org/crab/2014-2015%20files/WA_08282015.PDF" TargetMode="External"/><Relationship Id="rId278" Type="http://schemas.openxmlformats.org/officeDocument/2006/relationships/vmlDrawing" Target="../drawings/vmlDrawing1.vml"/><Relationship Id="rId156" Type="http://schemas.openxmlformats.org/officeDocument/2006/relationships/hyperlink" Target="http://www.psmfc.org/crab/2014-2015%20files/WA_08032015.pdf" TargetMode="External"/><Relationship Id="rId277" Type="http://schemas.openxmlformats.org/officeDocument/2006/relationships/drawing" Target="../drawings/drawing1.xml"/><Relationship Id="rId155" Type="http://schemas.openxmlformats.org/officeDocument/2006/relationships/hyperlink" Target="http://www.psmfc.org/crab/2014-2015%20files/IndustryNoticeDomoicAcidClosure.pdf" TargetMode="External"/><Relationship Id="rId276" Type="http://schemas.openxmlformats.org/officeDocument/2006/relationships/hyperlink" Target="https://old.psmfc.org/crab/2024-2025%20files/20250313_Industry_Notice_summer%20buoy%20tags.pdf" TargetMode="External"/><Relationship Id="rId107" Type="http://schemas.openxmlformats.org/officeDocument/2006/relationships/hyperlink" Target="http://www.psmfc.org/crab/2011-2012%20files/ODFW_letter_01062012.pdf" TargetMode="External"/><Relationship Id="rId228" Type="http://schemas.openxmlformats.org/officeDocument/2006/relationships/hyperlink" Target="http://www.psmfc.org/crab/2019%20-2020%20files/Industry%20Notice%20N%20of%20Klipsan%20opener.01.09.20.FINAL.pdf" TargetMode="External"/><Relationship Id="rId106" Type="http://schemas.openxmlformats.org/officeDocument/2006/relationships/hyperlink" Target="http://www.psmfc.org/crab/2011-2012%20files/WA_051412.pdf" TargetMode="External"/><Relationship Id="rId227" Type="http://schemas.openxmlformats.org/officeDocument/2006/relationships/hyperlink" Target="http://www.psmfc.org/crab/2019%20-2020%20files/Industry%20Notice%20S.%20of%20Klipsan%20opening%2012.20.19_FINAL.pdf" TargetMode="External"/><Relationship Id="rId105" Type="http://schemas.openxmlformats.org/officeDocument/2006/relationships/hyperlink" Target="http://www.psmfc.org/crab/2011-2012%20files/WA_051412.pdf" TargetMode="External"/><Relationship Id="rId226" Type="http://schemas.openxmlformats.org/officeDocument/2006/relationships/hyperlink" Target="http://www.psmfc.org/crab/2019%20-2020%20files/Industry%20Notice%20S.%20of%20Klipsan%20opening%2012.20.19_FINAL.pdf" TargetMode="External"/><Relationship Id="rId104" Type="http://schemas.openxmlformats.org/officeDocument/2006/relationships/hyperlink" Target="http://www.psmfc.org/crab/2011-2012%20files/ODFW_letter_01062012.pdf" TargetMode="External"/><Relationship Id="rId225" Type="http://schemas.openxmlformats.org/officeDocument/2006/relationships/hyperlink" Target="http://www.psmfc.org/crab/2019%20-2020%20files/Industry%20Notice%2012.6.19%20FINAL.pdf" TargetMode="External"/><Relationship Id="rId109" Type="http://schemas.openxmlformats.org/officeDocument/2006/relationships/hyperlink" Target="http://www.psmfc.org/crab/2011-2012%20files/WA_051412.pdf" TargetMode="External"/><Relationship Id="rId108" Type="http://schemas.openxmlformats.org/officeDocument/2006/relationships/hyperlink" Target="http://www.psmfc.org/crab/2011-2012%20files/WA_051412.pdf" TargetMode="External"/><Relationship Id="rId229" Type="http://schemas.openxmlformats.org/officeDocument/2006/relationships/hyperlink" Target="http://www.psmfc.org/crab/2019%20-2020%20files/Industry%20Notice%20N%20of%20Klipsan%20opener.01.09.20.FINAL.pdf" TargetMode="External"/><Relationship Id="rId220" Type="http://schemas.openxmlformats.org/officeDocument/2006/relationships/hyperlink" Target="http://www.psmfc.org/crab/2018-2019%20Files/Crab%20notice%2003072019.pdf" TargetMode="External"/><Relationship Id="rId103" Type="http://schemas.openxmlformats.org/officeDocument/2006/relationships/hyperlink" Target="http://www.psmfc.org/crab/2011-2012%20files/ODFW_letter_01062012.pdf" TargetMode="External"/><Relationship Id="rId224" Type="http://schemas.openxmlformats.org/officeDocument/2006/relationships/hyperlink" Target="http://www.psmfc.org/crab/2018-2019%20Files/Industry%20Notice%2004.29.19.opening%20remaining%20QIN.SMA.and%20QUIL.SMA.FINAL.pdf" TargetMode="External"/><Relationship Id="rId102" Type="http://schemas.openxmlformats.org/officeDocument/2006/relationships/hyperlink" Target="http://www.psmfc.org/crab/2011-2012%20files/ODFW_letter_01062012.pdf" TargetMode="External"/><Relationship Id="rId223" Type="http://schemas.openxmlformats.org/officeDocument/2006/relationships/hyperlink" Target="http://www.psmfc.org/crab/2018-2019%20Files/Industry%20Notice%204%208%2019.open%20QIN%20SMA%20to%20Pt.%20G.FINAL.pdf" TargetMode="External"/><Relationship Id="rId101" Type="http://schemas.openxmlformats.org/officeDocument/2006/relationships/hyperlink" Target="http://www.psmfc.org/crab/2011-2012%20files/ODFW_letter_01062012.pdf" TargetMode="External"/><Relationship Id="rId222" Type="http://schemas.openxmlformats.org/officeDocument/2006/relationships/hyperlink" Target="http://www.psmfc.org/crab/2018-2019%20Files/Crab%20notice%2003072019.pdf" TargetMode="External"/><Relationship Id="rId100" Type="http://schemas.openxmlformats.org/officeDocument/2006/relationships/hyperlink" Target="http://www.psmfc.org/crab/2011-2012%20files/ODFW%20season_delay%20notice_111011.pdf" TargetMode="External"/><Relationship Id="rId221" Type="http://schemas.openxmlformats.org/officeDocument/2006/relationships/hyperlink" Target="http://www.psmfc.org/crab/2018-2019%20Files/Crab%20notice%2003072019.pdf" TargetMode="External"/><Relationship Id="rId217" Type="http://schemas.openxmlformats.org/officeDocument/2006/relationships/hyperlink" Target="http://www.psmfc.org/crab/2018-2019%20Files/Crab%20notice%2003072019.pdf" TargetMode="External"/><Relationship Id="rId216" Type="http://schemas.openxmlformats.org/officeDocument/2006/relationships/hyperlink" Target="https://wdfw.wa.gov/sites/default/files/fishing/commercial/crab/coastal/2019/06feb_2019_notice.pdf" TargetMode="External"/><Relationship Id="rId215" Type="http://schemas.openxmlformats.org/officeDocument/2006/relationships/hyperlink" Target="http://www.psmfc.org/crab/2018-2019%20Files/Industry%20Notice_opening%20north%20of%20DI.2019.FINAL.pdf" TargetMode="External"/><Relationship Id="rId214" Type="http://schemas.openxmlformats.org/officeDocument/2006/relationships/hyperlink" Target="http://www.psmfc.org/crab/2018-2019%20Files/Industry%20Notice_opening%20north%20of%20DI.2019.FINAL.pdf" TargetMode="External"/><Relationship Id="rId219" Type="http://schemas.openxmlformats.org/officeDocument/2006/relationships/hyperlink" Target="http://www.psmfc.org/crab/2018-2019%20Files/Crab%20notice%2003072019.pdf" TargetMode="External"/><Relationship Id="rId218" Type="http://schemas.openxmlformats.org/officeDocument/2006/relationships/hyperlink" Target="https://wdfw.wa.gov/sites/default/files/fishing/commercial/crab/coastal/2019/09jan_2019_notice.pdf" TargetMode="External"/><Relationship Id="rId213" Type="http://schemas.openxmlformats.org/officeDocument/2006/relationships/hyperlink" Target="http://www.psmfc.org/crab/2018-2019%20Files/Industry%20Notice_opening%20north%20of%20DI.2019.FINAL.pdf" TargetMode="External"/><Relationship Id="rId212" Type="http://schemas.openxmlformats.org/officeDocument/2006/relationships/hyperlink" Target="http://www.psmfc.org/crab/2018-2019%20Files/Industry%20Notice_opening%20north%20of%20DI.2019.FINAL.pdf" TargetMode="External"/><Relationship Id="rId211" Type="http://schemas.openxmlformats.org/officeDocument/2006/relationships/hyperlink" Target="http://www.psmfc.org/crab/2018-2019%20Files/Industry%20Notice_opening%20north%20of%20DI.2019.FINAL.pdf" TargetMode="External"/><Relationship Id="rId210" Type="http://schemas.openxmlformats.org/officeDocument/2006/relationships/hyperlink" Target="http://www.psmfc.org/crab/2018-2019%20Files/Industry%20Notice%20S.%20of%20Klipsan%20opening%2012.29.18_final.pdf" TargetMode="External"/><Relationship Id="rId129" Type="http://schemas.openxmlformats.org/officeDocument/2006/relationships/hyperlink" Target="https://wdfw.wa.gov/sites/default/files/fishing/commercial/crab/coastal/2013/notice_22nov13.pdf" TargetMode="External"/><Relationship Id="rId128" Type="http://schemas.openxmlformats.org/officeDocument/2006/relationships/hyperlink" Target="http://www.psmfc.org/crab/2012-2013%20files/CA_crab_extension_2013.pdf" TargetMode="External"/><Relationship Id="rId249" Type="http://schemas.openxmlformats.org/officeDocument/2006/relationships/hyperlink" Target="http://www.psmfc.org/crab/2020-2021%20files/WA_Industry.Notice.03.30.21.open%20northen%20portion%20QIN.SMA.pdf" TargetMode="External"/><Relationship Id="rId127" Type="http://schemas.openxmlformats.org/officeDocument/2006/relationships/hyperlink" Target="http://www.psmfc.org/crab/2012-2013%20files/CA_crab_extension_2013.pdf" TargetMode="External"/><Relationship Id="rId248" Type="http://schemas.openxmlformats.org/officeDocument/2006/relationships/hyperlink" Target="http://www.psmfc.org/crab/2020-2021%20files/WA_Industry%20Notice.03.22.21.Makah%20SMA.pdf" TargetMode="External"/><Relationship Id="rId126" Type="http://schemas.openxmlformats.org/officeDocument/2006/relationships/hyperlink" Target="http://www.psmfc.org/crab/2012-2013%20files/WA_01102013.pdf" TargetMode="External"/><Relationship Id="rId247" Type="http://schemas.openxmlformats.org/officeDocument/2006/relationships/hyperlink" Target="http://www.psmfc.org/crab/2020-2021%20files/WA_Industry%20Notice.03.22.21.Makah%20SMA.pdf" TargetMode="External"/><Relationship Id="rId121" Type="http://schemas.openxmlformats.org/officeDocument/2006/relationships/hyperlink" Target="http://www.psmfc.org/crab/2012-2013%20files/WA_01102013.pdf" TargetMode="External"/><Relationship Id="rId242" Type="http://schemas.openxmlformats.org/officeDocument/2006/relationships/hyperlink" Target="https://wdfw.wa.gov/sites/default/files/2021-02/coastal_crab_notice_09feb2021.pdf" TargetMode="External"/><Relationship Id="rId120" Type="http://schemas.openxmlformats.org/officeDocument/2006/relationships/hyperlink" Target="http://www.psmfc.org/crab/2012-2013%20files/WA_01102013.pdf" TargetMode="External"/><Relationship Id="rId241" Type="http://schemas.openxmlformats.org/officeDocument/2006/relationships/hyperlink" Target="https://wdfw.wa.gov/sites/default/files/2020-12/coastal_crab_notice_08dec2020.pdf" TargetMode="External"/><Relationship Id="rId240" Type="http://schemas.openxmlformats.org/officeDocument/2006/relationships/hyperlink" Target="https://wdfw.wa.gov/sites/default/files/2020-11/coastal_crab_notice_19november2020.pdf" TargetMode="External"/><Relationship Id="rId125" Type="http://schemas.openxmlformats.org/officeDocument/2006/relationships/hyperlink" Target="http://www.psmfc.org/crab/2012-2013%20files/WA_01102013.pdf" TargetMode="External"/><Relationship Id="rId246" Type="http://schemas.openxmlformats.org/officeDocument/2006/relationships/hyperlink" Target="http://www.psmfc.org/crab/2020-2021%20files/WA20210209_Industry%20notice.pdf" TargetMode="External"/><Relationship Id="rId124" Type="http://schemas.openxmlformats.org/officeDocument/2006/relationships/hyperlink" Target="http://www.psmfc.org/crab/2012-2013%20files/WA_01102013.pdf" TargetMode="External"/><Relationship Id="rId245" Type="http://schemas.openxmlformats.org/officeDocument/2006/relationships/hyperlink" Target="http://www.psmfc.org/crab/2019%20-2020%20files/Industry%20Notice%20N%20of%20Klipsan%20opener.01.09.20.FINAL.pdf" TargetMode="External"/><Relationship Id="rId123" Type="http://schemas.openxmlformats.org/officeDocument/2006/relationships/hyperlink" Target="http://www.psmfc.org/crab/2012-2013%20files/WA_01102013.pdf" TargetMode="External"/><Relationship Id="rId244" Type="http://schemas.openxmlformats.org/officeDocument/2006/relationships/hyperlink" Target="http://www.psmfc.org/crab/2019%20-2020%20files/Industry%20Notice%20N%20of%20Klipsan%20opener.01.09.20.FINAL.pdf" TargetMode="External"/><Relationship Id="rId122" Type="http://schemas.openxmlformats.org/officeDocument/2006/relationships/hyperlink" Target="http://www.psmfc.org/crab/2012-2013%20files/WA_01102013.pdf" TargetMode="External"/><Relationship Id="rId243" Type="http://schemas.openxmlformats.org/officeDocument/2006/relationships/hyperlink" Target="http://www.psmfc.org/crab/2020-2021%20files/WA20210209_Industry%20notice.pdf" TargetMode="External"/><Relationship Id="rId95" Type="http://schemas.openxmlformats.org/officeDocument/2006/relationships/hyperlink" Target="http://www.psmfc.org/crab/2011-2012%20files/WA_letter_12082011.pdf" TargetMode="External"/><Relationship Id="rId94" Type="http://schemas.openxmlformats.org/officeDocument/2006/relationships/hyperlink" Target="http://www.psmfc.org/crab/2011-2012%20files/WA_letter_12082011.pdf" TargetMode="External"/><Relationship Id="rId97" Type="http://schemas.openxmlformats.org/officeDocument/2006/relationships/hyperlink" Target="http://www.psmfc.org/crab/2011-2012%20files/WA_letter_12082011.pdf" TargetMode="External"/><Relationship Id="rId96" Type="http://schemas.openxmlformats.org/officeDocument/2006/relationships/hyperlink" Target="http://www.psmfc.org/crab/2011-2012%20files/WA_111011.pdf" TargetMode="External"/><Relationship Id="rId99" Type="http://schemas.openxmlformats.org/officeDocument/2006/relationships/hyperlink" Target="http://www.psmfc.org/crab/2011-2012%20files/ODFW_letter_01062012.pdf" TargetMode="External"/><Relationship Id="rId98" Type="http://schemas.openxmlformats.org/officeDocument/2006/relationships/hyperlink" Target="http://www.psmfc.org/crab/2011-2012%20files/ODFW%20season_delay%20notice_111011.pdf" TargetMode="External"/><Relationship Id="rId91" Type="http://schemas.openxmlformats.org/officeDocument/2006/relationships/hyperlink" Target="http://www.psmfc.org/crab/2011-2012%20files/CA_Jan15_opener.pdf" TargetMode="External"/><Relationship Id="rId90" Type="http://schemas.openxmlformats.org/officeDocument/2006/relationships/hyperlink" Target="http://www.psmfc.org/crab/2010-2011%20Files/OR_2010_Closure_Notice_12_10_10.pdf" TargetMode="External"/><Relationship Id="rId93" Type="http://schemas.openxmlformats.org/officeDocument/2006/relationships/hyperlink" Target="http://www.psmfc.org/crab/2011-2012%20files/ODFW%20season_delay%20notice_111011.pdf" TargetMode="External"/><Relationship Id="rId92" Type="http://schemas.openxmlformats.org/officeDocument/2006/relationships/hyperlink" Target="http://www.psmfc.org/crab/2011-2012%20files/CA_Jan15_opener.pdf" TargetMode="External"/><Relationship Id="rId118" Type="http://schemas.openxmlformats.org/officeDocument/2006/relationships/hyperlink" Target="http://www.psmfc.org/crab/2012-2013%20files/WA_01102013.pdf" TargetMode="External"/><Relationship Id="rId239" Type="http://schemas.openxmlformats.org/officeDocument/2006/relationships/hyperlink" Target="https://www.psmfc.org/crab/2019%20-2020%20files/letter%20to%20license%20holders_Feb%203%202020.pdf" TargetMode="External"/><Relationship Id="rId117" Type="http://schemas.openxmlformats.org/officeDocument/2006/relationships/hyperlink" Target="http://www.psmfc.org/crab/2012-2013%20files/WA_notice12212012.pdf" TargetMode="External"/><Relationship Id="rId238" Type="http://schemas.openxmlformats.org/officeDocument/2006/relationships/hyperlink" Target="https://wdfw.wa.gov/sites/default/files/2020-03/industrynotice031620open_northen_portion_qinsma_.pdf" TargetMode="External"/><Relationship Id="rId116" Type="http://schemas.openxmlformats.org/officeDocument/2006/relationships/hyperlink" Target="http://www.psmfc.org/crab/2012-2013%20files/WA_opening2013.pdf" TargetMode="External"/><Relationship Id="rId237" Type="http://schemas.openxmlformats.org/officeDocument/2006/relationships/hyperlink" Target="https://wdfw.wa.gov/sites/default/files/2020-03/industrynotice031620open_northen_portion_qinsma_.pdf" TargetMode="External"/><Relationship Id="rId115" Type="http://schemas.openxmlformats.org/officeDocument/2006/relationships/hyperlink" Target="http://www.psmfc.org/crab/2012-2013%20files/Ca_3rd_delay_notice.pdf" TargetMode="External"/><Relationship Id="rId236" Type="http://schemas.openxmlformats.org/officeDocument/2006/relationships/hyperlink" Target="http://www.psmfc.org/crab/2019%20-2020%20files/Industry%20Notice%20N%20of%20Klipsan%20opener.01.09.20.FINAL.pdf" TargetMode="External"/><Relationship Id="rId119" Type="http://schemas.openxmlformats.org/officeDocument/2006/relationships/hyperlink" Target="http://www.psmfc.org/crab/2012-2013%20files/WA_01102013.pdf" TargetMode="External"/><Relationship Id="rId110" Type="http://schemas.openxmlformats.org/officeDocument/2006/relationships/hyperlink" Target="http://www.psmfc.org/crab/2011-2012%20files/ODFW_letter_01062012.pdf" TargetMode="External"/><Relationship Id="rId231" Type="http://schemas.openxmlformats.org/officeDocument/2006/relationships/hyperlink" Target="http://www.psmfc.org/crab/2019%20-2020%20files/Industry%20Notice%20N%20of%20Klipsan%20opener.01.09.20.FINAL.pdf" TargetMode="External"/><Relationship Id="rId230" Type="http://schemas.openxmlformats.org/officeDocument/2006/relationships/hyperlink" Target="http://www.psmfc.org/crab/2019%20-2020%20files/Industry%20Notice%20N%20of%20Klipsan%20opener.01.09.20.FINAL.pdf" TargetMode="External"/><Relationship Id="rId114" Type="http://schemas.openxmlformats.org/officeDocument/2006/relationships/hyperlink" Target="http://www.psmfc.org/crab/2012-2013%20files/OR_opener2013.pdf" TargetMode="External"/><Relationship Id="rId235" Type="http://schemas.openxmlformats.org/officeDocument/2006/relationships/hyperlink" Target="http://www.psmfc.org/crab/2019%20-2020%20files/Industry%20Notice%20N%20of%20Klipsan%20opener.01.09.20.FINAL.pdf" TargetMode="External"/><Relationship Id="rId113" Type="http://schemas.openxmlformats.org/officeDocument/2006/relationships/hyperlink" Target="http://www.psmfc.org/crab/2012-2013%20files/WA_seasondelay.pdf" TargetMode="External"/><Relationship Id="rId234" Type="http://schemas.openxmlformats.org/officeDocument/2006/relationships/hyperlink" Target="http://www.psmfc.org/crab/2019%20-2020%20files/Industry%20Notice%20N%20of%20Klipsan%20opener.01.09.20.FINAL.pdf" TargetMode="External"/><Relationship Id="rId112" Type="http://schemas.openxmlformats.org/officeDocument/2006/relationships/hyperlink" Target="http://www.psmfc.org/crab/2011-2012%20files/ODFW_letter_01062012.pdf" TargetMode="External"/><Relationship Id="rId233" Type="http://schemas.openxmlformats.org/officeDocument/2006/relationships/hyperlink" Target="http://www.psmfc.org/crab/2019%20-2020%20files/Industry%20Notice%20N%20of%20Klipsan%20opener.01.09.20.FINAL.pdf" TargetMode="External"/><Relationship Id="rId111" Type="http://schemas.openxmlformats.org/officeDocument/2006/relationships/hyperlink" Target="http://www.psmfc.org/crab/2011-2012%20files/ODFW_letter_01062012.pdf" TargetMode="External"/><Relationship Id="rId232" Type="http://schemas.openxmlformats.org/officeDocument/2006/relationships/hyperlink" Target="http://www.psmfc.org/crab/2019%20-2020%20files/Industry%20Notice%20N%20of%20Klipsan%20opener.01.09.20.FINAL.pdf" TargetMode="External"/><Relationship Id="rId206" Type="http://schemas.openxmlformats.org/officeDocument/2006/relationships/hyperlink" Target="http://www.psmfc.org/crab/2017-2018%20files/Industry%20Notice%2003%2022%2018.open%20northen%20portion%20QIN.SMA.pdf" TargetMode="External"/><Relationship Id="rId205" Type="http://schemas.openxmlformats.org/officeDocument/2006/relationships/hyperlink" Target="http://www.psmfc.org/crab/2017-2018%20files/Industry%20Notice%2003%2022%2018.open%20northen%20portion%20QIN.SMA.pdf" TargetMode="External"/><Relationship Id="rId204" Type="http://schemas.openxmlformats.org/officeDocument/2006/relationships/hyperlink" Target="http://www.psmfc.org/crab/2017-2018%20files/Nof%20Klipsanopener.01.18.FINAL.pdf" TargetMode="External"/><Relationship Id="rId203" Type="http://schemas.openxmlformats.org/officeDocument/2006/relationships/hyperlink" Target="http://www.psmfc.org/crab/2017-2018%20files/Nof%20Klipsanopener.01.18.FINAL.pdf" TargetMode="External"/><Relationship Id="rId209" Type="http://schemas.openxmlformats.org/officeDocument/2006/relationships/hyperlink" Target="http://www.psmfc.org/crab/2018-2019%20Files/Industry%20Notice%2011.14.18%20FINAL.pdf" TargetMode="External"/><Relationship Id="rId208" Type="http://schemas.openxmlformats.org/officeDocument/2006/relationships/hyperlink" Target="http://www.psmfc.org/crab/2017-2018%20files/Industry%20Notice%20QIN%20SMA%20opening_May%202018%20FINAL.pdf" TargetMode="External"/><Relationship Id="rId207" Type="http://schemas.openxmlformats.org/officeDocument/2006/relationships/hyperlink" Target="http://www.psmfc.org/crab/2017-2018%20files/Industry%20Notice%20QIN%20SMA%20opening_May%202018%20FINAL.pdf" TargetMode="External"/><Relationship Id="rId202" Type="http://schemas.openxmlformats.org/officeDocument/2006/relationships/hyperlink" Target="http://www.psmfc.org/crab/2017-2018%20files/Nof%20Klipsanopener.01.18.FINAL.pdf" TargetMode="External"/><Relationship Id="rId201" Type="http://schemas.openxmlformats.org/officeDocument/2006/relationships/hyperlink" Target="http://www.psmfc.org/crab/2017-2018%20files/Nof%20Klipsanopener.01.18.FINAL.pdf" TargetMode="External"/><Relationship Id="rId200" Type="http://schemas.openxmlformats.org/officeDocument/2006/relationships/hyperlink" Target="http://www.psmfc.org/crab/2017-2018%20files/Nof%20Klipsanopener.01.18.FINAL.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fw.state.or.us/news/2018/02_feb/021618b.asp" TargetMode="External"/><Relationship Id="rId42" Type="http://schemas.openxmlformats.org/officeDocument/2006/relationships/hyperlink" Target="https://www.dfw.state.or.us/news/2018/03_march/030518.asp" TargetMode="External"/><Relationship Id="rId41" Type="http://schemas.openxmlformats.org/officeDocument/2006/relationships/hyperlink" Target="https://www.dfw.state.or.us/news/2018/02_feb/021618c.asp" TargetMode="External"/><Relationship Id="rId44" Type="http://schemas.openxmlformats.org/officeDocument/2006/relationships/hyperlink" Target="https://www.dfw.state.or.us/news/2018/10_october/101918.asp" TargetMode="External"/><Relationship Id="rId43" Type="http://schemas.openxmlformats.org/officeDocument/2006/relationships/hyperlink" Target="https://www.dfw.state.or.us/news/2018/03_march/030518.asp" TargetMode="External"/><Relationship Id="rId46" Type="http://schemas.openxmlformats.org/officeDocument/2006/relationships/hyperlink" Target="https://www.dfw.state.or.us/news/2018/11_november/111418.asp" TargetMode="External"/><Relationship Id="rId45" Type="http://schemas.openxmlformats.org/officeDocument/2006/relationships/hyperlink" Target="https://www.dfw.state.or.us/news/2018/11_november/111418.asp" TargetMode="External"/><Relationship Id="rId48" Type="http://schemas.openxmlformats.org/officeDocument/2006/relationships/hyperlink" Target="https://www.dfw.state.or.us/news/2019/01_Jan/012419b.asp" TargetMode="External"/><Relationship Id="rId47" Type="http://schemas.openxmlformats.org/officeDocument/2006/relationships/hyperlink" Target="https://www.dfw.state.or.us/news/2018/12_december/123118b.asp" TargetMode="External"/><Relationship Id="rId49" Type="http://schemas.openxmlformats.org/officeDocument/2006/relationships/hyperlink" Target="https://www.dfw.state.or.us/news/2019/02_Feb/021419b.asp" TargetMode="External"/><Relationship Id="rId31" Type="http://schemas.openxmlformats.org/officeDocument/2006/relationships/hyperlink" Target="https://www.dfw.state.or.us/news/2017/10_Oct/102417.asp" TargetMode="External"/><Relationship Id="rId30" Type="http://schemas.openxmlformats.org/officeDocument/2006/relationships/hyperlink" Target="https://www.dfw.state.or.us/news/2017/02_feb/021017b.asp" TargetMode="External"/><Relationship Id="rId33" Type="http://schemas.openxmlformats.org/officeDocument/2006/relationships/hyperlink" Target="https://www.dfw.state.or.us/news/2017/11_nov/111617.asp" TargetMode="External"/><Relationship Id="rId32" Type="http://schemas.openxmlformats.org/officeDocument/2006/relationships/hyperlink" Target="https://www.dfw.state.or.us/news/2017/11_nov/111517.asp" TargetMode="External"/><Relationship Id="rId35" Type="http://schemas.openxmlformats.org/officeDocument/2006/relationships/hyperlink" Target="https://www.dfw.state.or.us/news/2017/11_nov/112217c.asp" TargetMode="External"/><Relationship Id="rId34" Type="http://schemas.openxmlformats.org/officeDocument/2006/relationships/hyperlink" Target="https://www.dfw.state.or.us/news/2017/11_nov/111617.asp" TargetMode="External"/><Relationship Id="rId37" Type="http://schemas.openxmlformats.org/officeDocument/2006/relationships/hyperlink" Target="https://www.dfw.state.or.us/news/2017/11_nov/111617.asp" TargetMode="External"/><Relationship Id="rId36" Type="http://schemas.openxmlformats.org/officeDocument/2006/relationships/hyperlink" Target="https://www.dfw.state.or.us/news/2017/12_dec/120517.asp" TargetMode="External"/><Relationship Id="rId39" Type="http://schemas.openxmlformats.org/officeDocument/2006/relationships/hyperlink" Target="https://www.dfw.state.or.us/news/2018/02_feb/020118b.asp" TargetMode="External"/><Relationship Id="rId38" Type="http://schemas.openxmlformats.org/officeDocument/2006/relationships/hyperlink" Target="https://www.dfw.state.or.us/news/2017/12_dec/122117.asp" TargetMode="External"/><Relationship Id="rId20" Type="http://schemas.openxmlformats.org/officeDocument/2006/relationships/hyperlink" Target="https://www.dfw.state.or.us/news/2016/12_dec/120216d.asp" TargetMode="External"/><Relationship Id="rId22" Type="http://schemas.openxmlformats.org/officeDocument/2006/relationships/hyperlink" Target="https://www.dfw.state.or.us/news/2016/12_dec/120916.asp" TargetMode="External"/><Relationship Id="rId21" Type="http://schemas.openxmlformats.org/officeDocument/2006/relationships/hyperlink" Target="https://www.dfw.state.or.us/news/2016/12_dec/120216d.asp" TargetMode="External"/><Relationship Id="rId24" Type="http://schemas.openxmlformats.org/officeDocument/2006/relationships/hyperlink" Target="https://www.dfw.state.or.us/news/2016/12_dec/121616.asp" TargetMode="External"/><Relationship Id="rId23" Type="http://schemas.openxmlformats.org/officeDocument/2006/relationships/hyperlink" Target="https://www.dfw.state.or.us/news/2016/12_dec/120916.asp" TargetMode="External"/><Relationship Id="rId26" Type="http://schemas.openxmlformats.org/officeDocument/2006/relationships/hyperlink" Target="https://www.dfw.state.or.us/news/2016/12_dec/122016.asp" TargetMode="External"/><Relationship Id="rId25" Type="http://schemas.openxmlformats.org/officeDocument/2006/relationships/hyperlink" Target="https://www.dfw.state.or.us/news/images/2016/121616_OpenAreas.jpg" TargetMode="External"/><Relationship Id="rId28" Type="http://schemas.openxmlformats.org/officeDocument/2006/relationships/hyperlink" Target="https://www.dfw.state.or.us/news/2017/02_feb/020117.asp" TargetMode="External"/><Relationship Id="rId27" Type="http://schemas.openxmlformats.org/officeDocument/2006/relationships/hyperlink" Target="https://www.dfw.state.or.us/news/2016/12_dec/122116.asp" TargetMode="External"/><Relationship Id="rId29" Type="http://schemas.openxmlformats.org/officeDocument/2006/relationships/hyperlink" Target="https://www.dfw.state.or.us/news/2017/02_feb/020217b.asp" TargetMode="External"/><Relationship Id="rId11" Type="http://schemas.openxmlformats.org/officeDocument/2006/relationships/hyperlink" Target="https://www.dfw.state.or.us/news/2013/december/120513.asp" TargetMode="External"/><Relationship Id="rId10" Type="http://schemas.openxmlformats.org/officeDocument/2006/relationships/hyperlink" Target="https://www.dfw.state.or.us/news/2013/december/120513.asp" TargetMode="External"/><Relationship Id="rId13" Type="http://schemas.openxmlformats.org/officeDocument/2006/relationships/hyperlink" Target="https://www.dfw.state.or.us/news/2015/November/112015.asp" TargetMode="External"/><Relationship Id="rId12" Type="http://schemas.openxmlformats.org/officeDocument/2006/relationships/hyperlink" Target="https://www.dfw.state.or.us/news/2015/November/112015.asp" TargetMode="External"/><Relationship Id="rId15" Type="http://schemas.openxmlformats.org/officeDocument/2006/relationships/hyperlink" Target="https://www.dfw.state.or.us/news/2015/december/122115b.asp" TargetMode="External"/><Relationship Id="rId14" Type="http://schemas.openxmlformats.org/officeDocument/2006/relationships/hyperlink" Target="https://www.dfw.state.or.us/news/2015/November/112015.asp" TargetMode="External"/><Relationship Id="rId17" Type="http://schemas.openxmlformats.org/officeDocument/2006/relationships/hyperlink" Target="https://www.dfw.state.or.us/news/2016/11_nov/111816b.asp" TargetMode="External"/><Relationship Id="rId16" Type="http://schemas.openxmlformats.org/officeDocument/2006/relationships/hyperlink" Target="https://www.dfw.state.or.us/news/2015/december/122115b.asp" TargetMode="External"/><Relationship Id="rId19" Type="http://schemas.openxmlformats.org/officeDocument/2006/relationships/hyperlink" Target="https://www.dfw.state.or.us/news/2016/12_dec/120216d.asp" TargetMode="External"/><Relationship Id="rId18" Type="http://schemas.openxmlformats.org/officeDocument/2006/relationships/hyperlink" Target="https://www.dfw.state.or.us/news/2016/11_nov/112216b.asp" TargetMode="External"/><Relationship Id="rId84" Type="http://schemas.openxmlformats.org/officeDocument/2006/relationships/drawing" Target="../drawings/drawing2.xml"/><Relationship Id="rId83" Type="http://schemas.openxmlformats.org/officeDocument/2006/relationships/hyperlink" Target="https://myodfw.com/news/oregons-north-coast-opens-commercial-crab-fishing-dec-31" TargetMode="External"/><Relationship Id="rId80" Type="http://schemas.openxmlformats.org/officeDocument/2006/relationships/hyperlink" Target="https://www.dfw.state.or.us/news/2025/01_Jan/010725.asp" TargetMode="External"/><Relationship Id="rId82" Type="http://schemas.openxmlformats.org/officeDocument/2006/relationships/hyperlink" Target="https://myodfw.com/news/commercial-crab-season-begins-dec-16-cape-falcon-california-border" TargetMode="External"/><Relationship Id="rId81" Type="http://schemas.openxmlformats.org/officeDocument/2006/relationships/hyperlink" Target="https://myodfw.com/news/commercial-crab-season-delayed" TargetMode="External"/><Relationship Id="rId1" Type="http://schemas.openxmlformats.org/officeDocument/2006/relationships/hyperlink" Target="https://www.dfw.state.or.us/news/2010/november/112210b.asp" TargetMode="External"/><Relationship Id="rId2" Type="http://schemas.openxmlformats.org/officeDocument/2006/relationships/hyperlink" Target="https://www.dfw.state.or.us/news/2011/november/111011.asp" TargetMode="External"/><Relationship Id="rId3" Type="http://schemas.openxmlformats.org/officeDocument/2006/relationships/hyperlink" Target="https://www.dfw.state.or.us/news/2011/november/111011.asp" TargetMode="External"/><Relationship Id="rId4" Type="http://schemas.openxmlformats.org/officeDocument/2006/relationships/hyperlink" Target="https://www.dfw.state.or.us/news/2011/november/111011.asp" TargetMode="External"/><Relationship Id="rId9" Type="http://schemas.openxmlformats.org/officeDocument/2006/relationships/hyperlink" Target="https://www.dfw.state.or.us/news/2013/november/112513.asp" TargetMode="External"/><Relationship Id="rId5" Type="http://schemas.openxmlformats.org/officeDocument/2006/relationships/hyperlink" Target="https://www.dfw.state.or.us/news/2011/december/120811c.asp" TargetMode="External"/><Relationship Id="rId6" Type="http://schemas.openxmlformats.org/officeDocument/2006/relationships/hyperlink" Target="https://www.dfw.state.or.us/news/2012/January/011212.asp" TargetMode="External"/><Relationship Id="rId7" Type="http://schemas.openxmlformats.org/officeDocument/2006/relationships/hyperlink" Target="https://www.dfw.state.or.us/news/2012/November/111412.asp" TargetMode="External"/><Relationship Id="rId8" Type="http://schemas.openxmlformats.org/officeDocument/2006/relationships/hyperlink" Target="https://www.dfw.state.or.us/news/2012/December/121012.asp" TargetMode="External"/><Relationship Id="rId73" Type="http://schemas.openxmlformats.org/officeDocument/2006/relationships/hyperlink" Target="https://www.dfw.state.or.us/news/2023/12_Dec/122023b.asp" TargetMode="External"/><Relationship Id="rId72" Type="http://schemas.openxmlformats.org/officeDocument/2006/relationships/hyperlink" Target="https://www.dfw.state.or.us/news/2023/12_Dec/120523b.asp" TargetMode="External"/><Relationship Id="rId75" Type="http://schemas.openxmlformats.org/officeDocument/2006/relationships/hyperlink" Target="https://www.dfw.state.or.us/news/2024/11_Nov/111424.asp" TargetMode="External"/><Relationship Id="rId74" Type="http://schemas.openxmlformats.org/officeDocument/2006/relationships/hyperlink" Target="https://www.dfw.state.or.us/news/2024/01_Jan/010524b.asp" TargetMode="External"/><Relationship Id="rId77" Type="http://schemas.openxmlformats.org/officeDocument/2006/relationships/hyperlink" Target="https://www.dfw.state.or.us/news/2024/12_Dec/120424b.asp" TargetMode="External"/><Relationship Id="rId76" Type="http://schemas.openxmlformats.org/officeDocument/2006/relationships/hyperlink" Target="https://www.dfw.state.or.us/news/2024/11_Nov/112024.asp" TargetMode="External"/><Relationship Id="rId79" Type="http://schemas.openxmlformats.org/officeDocument/2006/relationships/hyperlink" Target="https://www.dfw.state.or.us/news/2024/12_Dec/122324.asp" TargetMode="External"/><Relationship Id="rId78" Type="http://schemas.openxmlformats.org/officeDocument/2006/relationships/hyperlink" Target="https://www.dfw.state.or.us/news/2024/12_Dec/120624.asp" TargetMode="External"/><Relationship Id="rId71" Type="http://schemas.openxmlformats.org/officeDocument/2006/relationships/hyperlink" Target="https://www.dfw.state.or.us/news/2023/11_Nov/111723.asp" TargetMode="External"/><Relationship Id="rId70" Type="http://schemas.openxmlformats.org/officeDocument/2006/relationships/hyperlink" Target="https://www.dfw.state.or.us/news/2023/05_May/050123d.asp" TargetMode="External"/><Relationship Id="rId62" Type="http://schemas.openxmlformats.org/officeDocument/2006/relationships/hyperlink" Target="https://www.dfw.state.or.us/news/2021/02_feb/020821.asp" TargetMode="External"/><Relationship Id="rId61" Type="http://schemas.openxmlformats.org/officeDocument/2006/relationships/hyperlink" Target="https://www.dfw.state.or.us/news/2020/12_Dec/120820b.asp" TargetMode="External"/><Relationship Id="rId64" Type="http://schemas.openxmlformats.org/officeDocument/2006/relationships/hyperlink" Target="https://www.dfw.state.or.us/news/2022/12_Dec/120722.asp" TargetMode="External"/><Relationship Id="rId63" Type="http://schemas.openxmlformats.org/officeDocument/2006/relationships/hyperlink" Target="https://www.dfw.state.or.us/news/2022/11_Nov/111822b.asp" TargetMode="External"/><Relationship Id="rId66" Type="http://schemas.openxmlformats.org/officeDocument/2006/relationships/hyperlink" Target="https://www.dfw.state.or.us/news/2023/01_Jan/010623c.asp" TargetMode="External"/><Relationship Id="rId65" Type="http://schemas.openxmlformats.org/officeDocument/2006/relationships/hyperlink" Target="https://www.dfw.state.or.us/news/2022/12_Dec/122222.asp" TargetMode="External"/><Relationship Id="rId68" Type="http://schemas.openxmlformats.org/officeDocument/2006/relationships/hyperlink" Target="https://www.dfw.state.or.us/news/2023/01_Jan/010623c.asp" TargetMode="External"/><Relationship Id="rId67" Type="http://schemas.openxmlformats.org/officeDocument/2006/relationships/hyperlink" Target="https://www.dfw.state.or.us/news/2023/01_Jan/010623c.asp" TargetMode="External"/><Relationship Id="rId60" Type="http://schemas.openxmlformats.org/officeDocument/2006/relationships/hyperlink" Target="https://www.dfw.state.or.us/news/2020/11_Nov/112020.asp" TargetMode="External"/><Relationship Id="rId69" Type="http://schemas.openxmlformats.org/officeDocument/2006/relationships/hyperlink" Target="https://www.dfw.state.or.us/news/2023/01_Jan/012623b.asp" TargetMode="External"/><Relationship Id="rId51" Type="http://schemas.openxmlformats.org/officeDocument/2006/relationships/hyperlink" Target="https://www.dfw.state.or.us/news/2019/03_Mar/032819.asp" TargetMode="External"/><Relationship Id="rId50" Type="http://schemas.openxmlformats.org/officeDocument/2006/relationships/hyperlink" Target="https://www.dfw.state.or.us/news/2019/02_Feb/021419.asp" TargetMode="External"/><Relationship Id="rId53" Type="http://schemas.openxmlformats.org/officeDocument/2006/relationships/hyperlink" Target="https://www.dfw.state.or.us/news/2019/05_May/051019b.asp" TargetMode="External"/><Relationship Id="rId52" Type="http://schemas.openxmlformats.org/officeDocument/2006/relationships/hyperlink" Target="https://www.dfw.state.or.us/news/2019/03_Mar/032819.asp" TargetMode="External"/><Relationship Id="rId55" Type="http://schemas.openxmlformats.org/officeDocument/2006/relationships/hyperlink" Target="https://www.dfw.state.or.us/news/2019/05_May/052419.asp" TargetMode="External"/><Relationship Id="rId54" Type="http://schemas.openxmlformats.org/officeDocument/2006/relationships/hyperlink" Target="https://www.dfw.state.or.us/news/2019/05_May/051019b.asp" TargetMode="External"/><Relationship Id="rId57" Type="http://schemas.openxmlformats.org/officeDocument/2006/relationships/hyperlink" Target="https://www.dfw.state.or.us/news/2019/11_Nov/111319.asp" TargetMode="External"/><Relationship Id="rId56" Type="http://schemas.openxmlformats.org/officeDocument/2006/relationships/hyperlink" Target="https://www.dfw.state.or.us/news/2019/05_May/052419.asp" TargetMode="External"/><Relationship Id="rId59" Type="http://schemas.openxmlformats.org/officeDocument/2006/relationships/hyperlink" Target="https://www.dfw.state.or.us/news/2020/11_Nov/112020.asp" TargetMode="External"/><Relationship Id="rId58" Type="http://schemas.openxmlformats.org/officeDocument/2006/relationships/hyperlink" Target="https://www.dfw.state.or.us/news/2019/12_Dec/122019.asp"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odanews.wpengine.com/clatsop-beaches-open-for-razor-clamming/" TargetMode="External"/><Relationship Id="rId22" Type="http://schemas.openxmlformats.org/officeDocument/2006/relationships/hyperlink" Target="https://odanews.wpengine.com/recreational-razor-clamming-open-from-the-columbia-river-to-the-siuslaw-river/" TargetMode="External"/><Relationship Id="rId21" Type="http://schemas.openxmlformats.org/officeDocument/2006/relationships/hyperlink" Target="https://www.dfw.state.or.us/news/2019/06_Jun/060719.asp" TargetMode="External"/><Relationship Id="rId24" Type="http://schemas.openxmlformats.org/officeDocument/2006/relationships/hyperlink" Target="https://odanews.wpengine.com/recreational-razor-clamming-open-from-siuslaw-river-to-cape-arago/" TargetMode="External"/><Relationship Id="rId23" Type="http://schemas.openxmlformats.org/officeDocument/2006/relationships/hyperlink" Target="https://odanews.wpengine.com/recreational-razor-clamming-closes-on-central-oregon-coast/" TargetMode="External"/><Relationship Id="rId26" Type="http://schemas.openxmlformats.org/officeDocument/2006/relationships/hyperlink" Target="https://odanews.wpengine.com/southern-oregon-coast-opens-up-for-razor-clam-harvesting/" TargetMode="External"/><Relationship Id="rId25" Type="http://schemas.openxmlformats.org/officeDocument/2006/relationships/hyperlink" Target="https://odanews.wpengine.com/portion-of-oregon-coast-opens-for-razor-clam-harvesting/" TargetMode="External"/><Relationship Id="rId27" Type="http://schemas.openxmlformats.org/officeDocument/2006/relationships/drawing" Target="../drawings/drawing3.xml"/><Relationship Id="rId11" Type="http://schemas.openxmlformats.org/officeDocument/2006/relationships/hyperlink" Target="https://odanews.wpengine.com/partial-razor-clam-closure-due-to-elevated-domoic-acid/" TargetMode="External"/><Relationship Id="rId10" Type="http://schemas.openxmlformats.org/officeDocument/2006/relationships/hyperlink" Target="https://odanews.wpengine.com/news-release-razor-clamming-now-open-from-the-yachats-river-to-the-umpqua-river/" TargetMode="External"/><Relationship Id="rId13" Type="http://schemas.openxmlformats.org/officeDocument/2006/relationships/hyperlink" Target="https://odanews.wpengine.com/odfw-annual-razor-clam-conservation-closure-in-effect-from-columbia-river-to-tillamook-head/" TargetMode="External"/><Relationship Id="rId12" Type="http://schemas.openxmlformats.org/officeDocument/2006/relationships/hyperlink" Target="https://odanews.wpengine.com/news-release-razor-clamming-open-from-columbia-river-to-cape-perpetua/" TargetMode="External"/><Relationship Id="rId15" Type="http://schemas.openxmlformats.org/officeDocument/2006/relationships/hyperlink" Target="https://odanews.wpengine.com/news-release-razor-clamming-opens-from-cape-arago-to-the-coquille-river/" TargetMode="External"/><Relationship Id="rId14" Type="http://schemas.openxmlformats.org/officeDocument/2006/relationships/hyperlink" Target="https://odanews.wpengine.com/news-release-razor-clamming-open-from-tillamook-head-to-cape-arago-7-20-18/" TargetMode="External"/><Relationship Id="rId17" Type="http://schemas.openxmlformats.org/officeDocument/2006/relationships/hyperlink" Target="https://odanews.wpengine.com/clatsop-beaches-razor-clam-conservation-closure-ends/" TargetMode="External"/><Relationship Id="rId16" Type="http://schemas.openxmlformats.org/officeDocument/2006/relationships/hyperlink" Target="https://odanews.wpengine.com/news-release-razor-clamming-now-closed-from-umpqua-river-to-california-border-09-14-18/" TargetMode="External"/><Relationship Id="rId19" Type="http://schemas.openxmlformats.org/officeDocument/2006/relationships/hyperlink" Target="https://odanews.wpengine.com/clatsop-beaches-close-for-razor-clam-harvesting/" TargetMode="External"/><Relationship Id="rId18" Type="http://schemas.openxmlformats.org/officeDocument/2006/relationships/hyperlink" Target="https://odanews.wpengine.com/clatsop-beaches-razor-clam-conservation-closure-ends/" TargetMode="External"/><Relationship Id="rId1" Type="http://schemas.openxmlformats.org/officeDocument/2006/relationships/hyperlink" Target="https://odanews.wpengine.com/news-release-portion-of-oregon-coast-reopens-for-razor-clam-harvesting/" TargetMode="External"/><Relationship Id="rId2" Type="http://schemas.openxmlformats.org/officeDocument/2006/relationships/hyperlink" Target="https://odanews.wpengine.com/news-release-entire-oregon-coast-closed-to-razor-clam-and-mussel-harvesting/" TargetMode="External"/><Relationship Id="rId3" Type="http://schemas.openxmlformats.org/officeDocument/2006/relationships/hyperlink" Target="https://odanews.wpengine.com/news-release-razor-clamming-reopened-on-part-of-the-oregon-coast/" TargetMode="External"/><Relationship Id="rId4" Type="http://schemas.openxmlformats.org/officeDocument/2006/relationships/hyperlink" Target="https://odanews.wpengine.com/clatsop-county-razor-clamming-to-reopen/" TargetMode="External"/><Relationship Id="rId9" Type="http://schemas.openxmlformats.org/officeDocument/2006/relationships/hyperlink" Target="https://odanews.wpengine.com/news-release-razor-clamming-now-open-from-cascade-head-to-yachats-river/" TargetMode="External"/><Relationship Id="rId5" Type="http://schemas.openxmlformats.org/officeDocument/2006/relationships/hyperlink" Target="https://odanews.wpengine.com/clatsop-county-razor-clamming-to-reopen/" TargetMode="External"/><Relationship Id="rId6" Type="http://schemas.openxmlformats.org/officeDocument/2006/relationships/hyperlink" Target="https://odanews.wpengine.com/news-release-razor-clamming-reopened-on-part-of-the-oregon-coast-2/" TargetMode="External"/><Relationship Id="rId7" Type="http://schemas.openxmlformats.org/officeDocument/2006/relationships/hyperlink" Target="https://odanews.wpengine.com/news-release-razor-clamming-closed-on-part-of-the-oregon-coast/" TargetMode="External"/><Relationship Id="rId8" Type="http://schemas.openxmlformats.org/officeDocument/2006/relationships/hyperlink" Target="https://odanews.wpengine.com/news-release-razor-clamming-reopens-on-portion-of-oregons-south-coast/"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odanews.wpengine.com/news-release-odfw-extends-razor-clam-conservation-closure-portion-of-coast-re-opens-for-mussel-recreational-harvesting/" TargetMode="External"/><Relationship Id="rId10" Type="http://schemas.openxmlformats.org/officeDocument/2006/relationships/hyperlink" Target="https://odanews.wpengine.com/news-release-mussel-harvesting-closed-from-coquille-river-to-california-border/" TargetMode="External"/><Relationship Id="rId13" Type="http://schemas.openxmlformats.org/officeDocument/2006/relationships/drawing" Target="../drawings/drawing4.xml"/><Relationship Id="rId12" Type="http://schemas.openxmlformats.org/officeDocument/2006/relationships/hyperlink" Target="https://odanews.wpengine.com/recreational-mussel-harvesting-now-open-along-entire-oregon-coast/" TargetMode="External"/><Relationship Id="rId1" Type="http://schemas.openxmlformats.org/officeDocument/2006/relationships/hyperlink" Target="https://odanews.wpengine.com/news-release-entire-oregon-coast-closed-to-razor-clam-and-mussel-harvesting/" TargetMode="External"/><Relationship Id="rId2" Type="http://schemas.openxmlformats.org/officeDocument/2006/relationships/hyperlink" Target="https://odanews.wpengine.com/news-release-portion-of-south-oregon-coast-reopened-to-mussel-harvesting-2/" TargetMode="External"/><Relationship Id="rId3" Type="http://schemas.openxmlformats.org/officeDocument/2006/relationships/hyperlink" Target="https://odanews.wpengine.com/news-release-north-and-central-oregon-coast-reopened-to-mussel-harvesting/" TargetMode="External"/><Relationship Id="rId4" Type="http://schemas.openxmlformats.org/officeDocument/2006/relationships/hyperlink" Target="https://odanews.wpengine.com/news-release-south-oregon-coast-closed-to-mussel-harvesting/" TargetMode="External"/><Relationship Id="rId9" Type="http://schemas.openxmlformats.org/officeDocument/2006/relationships/hyperlink" Target="https://odanews.wpengine.com/news-release-entire-oregon-coast-reopened-for-mussel-harvesting/" TargetMode="External"/><Relationship Id="rId5" Type="http://schemas.openxmlformats.org/officeDocument/2006/relationships/hyperlink" Target="https://odanews.wpengine.com/news-release-south-oregon-coast-reopened-to-mussel-harvesting/" TargetMode="External"/><Relationship Id="rId6" Type="http://schemas.openxmlformats.org/officeDocument/2006/relationships/hyperlink" Target="https://odanews.wpengine.com/north-oregon-coast-closed-to-mussel-harvesting/" TargetMode="External"/><Relationship Id="rId7" Type="http://schemas.openxmlformats.org/officeDocument/2006/relationships/hyperlink" Target="https://odanews.wpengine.com/news-release-entire-oregon-coast-open-for-mussel-harvesting/" TargetMode="External"/><Relationship Id="rId8" Type="http://schemas.openxmlformats.org/officeDocument/2006/relationships/hyperlink" Target="https://odanews.wpengine.com/news-release-north-oregon-coast-closed-to-mussel-harvesting/" TargetMode="External"/></Relationships>
</file>

<file path=xl/worksheets/_rels/sheet5.xml.rels><?xml version="1.0" encoding="UTF-8" standalone="yes"?><Relationships xmlns="http://schemas.openxmlformats.org/package/2006/relationships"><Relationship Id="rId31" Type="http://schemas.openxmlformats.org/officeDocument/2006/relationships/hyperlink" Target="https://odanews.wpengine.com/entire-oregon-coast-now-open-for-crabbing/" TargetMode="External"/><Relationship Id="rId30" Type="http://schemas.openxmlformats.org/officeDocument/2006/relationships/hyperlink" Target="https://odanews.wpengine.com/remainder-of-oregon-coast-to-open-commercial-crabbing-feb-1/" TargetMode="External"/><Relationship Id="rId33" Type="http://schemas.openxmlformats.org/officeDocument/2006/relationships/hyperlink" Target="https://odanews.wpengine.com/recreational-crabbing-closes-on-southern-oregon-coast/" TargetMode="External"/><Relationship Id="rId32" Type="http://schemas.openxmlformats.org/officeDocument/2006/relationships/hyperlink" Target="https://odanews.wpengine.com/entire-oregon-coast-now-open-for-crabbing/" TargetMode="External"/><Relationship Id="rId35" Type="http://schemas.openxmlformats.org/officeDocument/2006/relationships/hyperlink" Target="https://odanews.wpengine.com/south-coast-opens-for-recreational-crabbing/" TargetMode="External"/><Relationship Id="rId34" Type="http://schemas.openxmlformats.org/officeDocument/2006/relationships/hyperlink" Target="https://odanews.wpengine.com/recreational-crabbing-closes-on-southern-oregon-coast/" TargetMode="External"/><Relationship Id="rId37" Type="http://schemas.openxmlformats.org/officeDocument/2006/relationships/hyperlink" Target="https://odanews.wpengine.com/southern-oregon-coast-crabbing-restrictions-lifted/" TargetMode="External"/><Relationship Id="rId36" Type="http://schemas.openxmlformats.org/officeDocument/2006/relationships/hyperlink" Target="https://odanews.wpengine.com/south-coast-closes-for-recreational-crabbing-from-cape-blanco-to-california-border/" TargetMode="External"/><Relationship Id="rId39" Type="http://schemas.openxmlformats.org/officeDocument/2006/relationships/drawing" Target="../drawings/drawing5.xml"/><Relationship Id="rId38" Type="http://schemas.openxmlformats.org/officeDocument/2006/relationships/hyperlink" Target="https://odanews.wpengine.com/southern-oregon-coast-crabbing-restrictions-lifted/" TargetMode="External"/><Relationship Id="rId20" Type="http://schemas.openxmlformats.org/officeDocument/2006/relationships/hyperlink" Target="https://odanews.wpengine.com/news-release-recreational-crabbing-closed-along-south-oregon-coast/" TargetMode="External"/><Relationship Id="rId22" Type="http://schemas.openxmlformats.org/officeDocument/2006/relationships/hyperlink" Target="https://odanews.wpengine.com/news-release-entire-oregon-coast-reopened-for-crabbing/" TargetMode="External"/><Relationship Id="rId21" Type="http://schemas.openxmlformats.org/officeDocument/2006/relationships/hyperlink" Target="https://odanews.wpengine.com/news-release-recreational-crabbing-closed-along-south-oregon-coast/" TargetMode="External"/><Relationship Id="rId24" Type="http://schemas.openxmlformats.org/officeDocument/2006/relationships/hyperlink" Target="https://odanews.wpengine.com/recreational-crabbing-closes-from-cape-blanco-to-california/" TargetMode="External"/><Relationship Id="rId23" Type="http://schemas.openxmlformats.org/officeDocument/2006/relationships/hyperlink" Target="https://odanews.wpengine.com/news-release-entire-oregon-coast-reopened-for-crabbing/" TargetMode="External"/><Relationship Id="rId26" Type="http://schemas.openxmlformats.org/officeDocument/2006/relationships/hyperlink" Target="https://odanews.wpengine.com/odfw-news-release-commercial-dungeness-crab-season-delayed/" TargetMode="External"/><Relationship Id="rId25" Type="http://schemas.openxmlformats.org/officeDocument/2006/relationships/hyperlink" Target="https://odanews.wpengine.com/odfw-news-release-commercial-dungeness-crab-season-delayed/" TargetMode="External"/><Relationship Id="rId28" Type="http://schemas.openxmlformats.org/officeDocument/2006/relationships/hyperlink" Target="https://odanews.wpengine.com/oregon-commercial-crab-fishery-to-open-jan-4-north-of-cape-arago/" TargetMode="External"/><Relationship Id="rId27" Type="http://schemas.openxmlformats.org/officeDocument/2006/relationships/hyperlink" Target="https://odanews.wpengine.com/oregon-commercial-crab-fishery-to-open-jan-4-north-of-cape-arago/" TargetMode="External"/><Relationship Id="rId29" Type="http://schemas.openxmlformats.org/officeDocument/2006/relationships/hyperlink" Target="https://odanews.wpengine.com/remainder-of-oregon-coast-to-open-commercial-crabbing-feb-1/" TargetMode="External"/><Relationship Id="rId11" Type="http://schemas.openxmlformats.org/officeDocument/2006/relationships/hyperlink" Target="https://odanews.wpengine.com/news-release-portion-of-oregon-coast-closed-to-recreational-crab-harvesting/" TargetMode="External"/><Relationship Id="rId10" Type="http://schemas.openxmlformats.org/officeDocument/2006/relationships/hyperlink" Target="https://odanews.wpengine.com/news-release-crabbing-restrictions-lifted-on-central-oregon-coast/" TargetMode="External"/><Relationship Id="rId13" Type="http://schemas.openxmlformats.org/officeDocument/2006/relationships/hyperlink" Target="https://odanews.wpengine.com/news-release-crab-harvesting-closure-extended-on-oregon-coast/" TargetMode="External"/><Relationship Id="rId12" Type="http://schemas.openxmlformats.org/officeDocument/2006/relationships/hyperlink" Target="https://odanews.wpengine.com/news-release-crab-harvesting-closure-extended-on-oregon-coast/" TargetMode="External"/><Relationship Id="rId15" Type="http://schemas.openxmlformats.org/officeDocument/2006/relationships/hyperlink" Target="https://odanews.wpengine.com/news-release-portion-of-central-oregon-coast-added-to-crab-harvesting-closure/" TargetMode="External"/><Relationship Id="rId14" Type="http://schemas.openxmlformats.org/officeDocument/2006/relationships/hyperlink" Target="https://odanews.wpengine.com/news-release-crabbing-closure-extended-once-again-on-south-oregon-coast/" TargetMode="External"/><Relationship Id="rId17" Type="http://schemas.openxmlformats.org/officeDocument/2006/relationships/hyperlink" Target="https://odanews.wpengine.com/news-release-another-section-of-oregon-coast-reopened-to-recreational-crabbing/" TargetMode="External"/><Relationship Id="rId16" Type="http://schemas.openxmlformats.org/officeDocument/2006/relationships/hyperlink" Target="https://odanews.wpengine.com/news-release-recreational-crab-harvesting-reopens-on-a-portion-of-oregon-coast/" TargetMode="External"/><Relationship Id="rId19" Type="http://schemas.openxmlformats.org/officeDocument/2006/relationships/hyperlink" Target="https://odanews.wpengine.com/news-release-entire-oregon-coast-now-open-for-crabbing/" TargetMode="External"/><Relationship Id="rId18" Type="http://schemas.openxmlformats.org/officeDocument/2006/relationships/hyperlink" Target="https://odanews.wpengine.com/news-release-entire-oregon-coast-now-open-for-crabbing/" TargetMode="External"/><Relationship Id="rId1" Type="http://schemas.openxmlformats.org/officeDocument/2006/relationships/hyperlink" Target="https://odanews.wpengine.com/news-release-recreational-crabbing-closed-from-tillamook-head-to-california-border/" TargetMode="External"/><Relationship Id="rId2" Type="http://schemas.openxmlformats.org/officeDocument/2006/relationships/hyperlink" Target="https://odanews.wpengine.com/state-opens-a-portion-of-commercial-dungeness-crab-season-extends-recreational-opening/" TargetMode="External"/><Relationship Id="rId3" Type="http://schemas.openxmlformats.org/officeDocument/2006/relationships/hyperlink" Target="https://odanews.wpengine.com/state-opens-a-portion-of-commercial-dungeness-crab-season-extends-recreational-opening/" TargetMode="External"/><Relationship Id="rId4" Type="http://schemas.openxmlformats.org/officeDocument/2006/relationships/hyperlink" Target="https://odanews.wpengine.com/state-opens-a-portion-of-commercial-dungeness-crab-season-extends-recreational-opening/" TargetMode="External"/><Relationship Id="rId9" Type="http://schemas.openxmlformats.org/officeDocument/2006/relationships/hyperlink" Target="https://odanews.wpengine.com/news-release-commercial-crabbing-closed-along-central-oregon-coast/" TargetMode="External"/><Relationship Id="rId5" Type="http://schemas.openxmlformats.org/officeDocument/2006/relationships/hyperlink" Target="https://odanews.wpengine.com/coos-bay-and-winchester-bay-now-open-for-recreational-crabbing/" TargetMode="External"/><Relationship Id="rId6" Type="http://schemas.openxmlformats.org/officeDocument/2006/relationships/hyperlink" Target="https://odanews.wpengine.com/recreational-crabbing-now-open-in-all-oregon-waters/" TargetMode="External"/><Relationship Id="rId7" Type="http://schemas.openxmlformats.org/officeDocument/2006/relationships/hyperlink" Target="https://odanews.wpengine.com/entire-oregon-coast-set-to-open-for-commercial-dungeness-crabbing/" TargetMode="External"/><Relationship Id="rId8" Type="http://schemas.openxmlformats.org/officeDocument/2006/relationships/hyperlink" Target="https://odanews.wpengine.com/news-release-commercial-crabbing-closed-along-central-oregon-coas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psmfc.org/crab/2009-2010%20files/WA%20Industry%20Notice%2012212009.pdf" TargetMode="External"/><Relationship Id="rId2" Type="http://schemas.openxmlformats.org/officeDocument/2006/relationships/hyperlink" Target="http://www.psmfc.org/crab/2009-2010%20files/WA%20Industry%20Notice%2012212009.pdf" TargetMode="External"/><Relationship Id="rId3" Type="http://schemas.openxmlformats.org/officeDocument/2006/relationships/hyperlink" Target="http://www.psmfc.org/crab/2009-2010%20files/Industry%20Notice042610.pdf"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5" max="5" width="13.5"/>
    <col customWidth="1" min="6" max="6" width="22.75"/>
    <col customWidth="1" min="7" max="7" width="16.5"/>
    <col customWidth="1" min="8" max="8" width="17.13"/>
    <col customWidth="1" min="9" max="9" width="33.0"/>
    <col customWidth="1" min="10" max="10" width="35.0"/>
    <col customWidth="1" min="11" max="11" width="57.0"/>
    <col customWidth="1" min="12" max="13" width="13.0"/>
    <col customWidth="1" min="14" max="14" width="12.63"/>
    <col customWidth="1" min="15" max="15" width="83.75"/>
    <col customWidth="1" min="16" max="16" width="65.88"/>
  </cols>
  <sheetData>
    <row r="1">
      <c r="A1" s="1" t="s">
        <v>0</v>
      </c>
      <c r="B1" s="1" t="s">
        <v>1</v>
      </c>
      <c r="C1" s="1" t="s">
        <v>2</v>
      </c>
      <c r="D1" s="1" t="s">
        <v>3</v>
      </c>
      <c r="E1" s="1" t="s">
        <v>4</v>
      </c>
      <c r="F1" s="1" t="s">
        <v>5</v>
      </c>
      <c r="G1" s="1" t="s">
        <v>6</v>
      </c>
      <c r="H1" s="2" t="s">
        <v>7</v>
      </c>
      <c r="I1" s="1" t="s">
        <v>8</v>
      </c>
      <c r="J1" s="2" t="s">
        <v>9</v>
      </c>
      <c r="K1" s="1" t="s">
        <v>10</v>
      </c>
      <c r="L1" s="1" t="s">
        <v>11</v>
      </c>
      <c r="M1" s="1" t="s">
        <v>12</v>
      </c>
      <c r="N1" s="2" t="s">
        <v>13</v>
      </c>
      <c r="O1" s="1" t="s">
        <v>14</v>
      </c>
      <c r="P1" s="1" t="s">
        <v>15</v>
      </c>
      <c r="Q1" s="3"/>
      <c r="R1" s="3"/>
      <c r="S1" s="3"/>
      <c r="T1" s="3"/>
      <c r="U1" s="3"/>
      <c r="V1" s="3"/>
      <c r="W1" s="3"/>
      <c r="X1" s="3"/>
      <c r="Y1" s="3"/>
      <c r="Z1" s="3"/>
      <c r="AA1" s="3"/>
      <c r="AB1" s="3"/>
      <c r="AC1" s="3"/>
      <c r="AD1" s="3"/>
      <c r="AE1" s="3"/>
      <c r="AF1" s="3"/>
      <c r="AG1" s="3"/>
      <c r="AH1" s="3"/>
      <c r="AI1" s="3"/>
      <c r="AJ1" s="3"/>
      <c r="AK1" s="3"/>
      <c r="AL1" s="3"/>
      <c r="AM1" s="3"/>
      <c r="AN1" s="3"/>
    </row>
    <row r="2">
      <c r="A2" s="4">
        <v>38329.0</v>
      </c>
      <c r="B2" s="5" t="s">
        <v>16</v>
      </c>
      <c r="C2" s="5">
        <v>2004.0</v>
      </c>
      <c r="D2" s="6">
        <v>38322.0</v>
      </c>
      <c r="E2" s="5" t="s">
        <v>17</v>
      </c>
      <c r="F2" s="5" t="s">
        <v>18</v>
      </c>
      <c r="G2" s="5" t="s">
        <v>19</v>
      </c>
      <c r="H2" s="5"/>
      <c r="I2" s="5" t="s">
        <v>20</v>
      </c>
      <c r="J2" s="5" t="s">
        <v>21</v>
      </c>
      <c r="K2" s="5" t="s">
        <v>22</v>
      </c>
      <c r="L2" s="5">
        <v>45.46</v>
      </c>
      <c r="M2" s="5">
        <v>46.25</v>
      </c>
      <c r="N2" s="5" t="s">
        <v>23</v>
      </c>
      <c r="O2" s="7" t="s">
        <v>24</v>
      </c>
      <c r="P2" s="8"/>
      <c r="Q2" s="8"/>
      <c r="R2" s="8"/>
      <c r="S2" s="8"/>
      <c r="T2" s="8"/>
      <c r="U2" s="8"/>
      <c r="V2" s="8"/>
      <c r="W2" s="8"/>
      <c r="X2" s="8"/>
      <c r="Y2" s="8"/>
      <c r="Z2" s="8"/>
      <c r="AA2" s="8"/>
      <c r="AB2" s="8"/>
      <c r="AC2" s="8"/>
      <c r="AD2" s="8"/>
      <c r="AE2" s="8"/>
      <c r="AF2" s="8"/>
      <c r="AG2" s="8"/>
      <c r="AH2" s="8"/>
      <c r="AI2" s="8"/>
      <c r="AJ2" s="8"/>
      <c r="AK2" s="8"/>
      <c r="AL2" s="8"/>
      <c r="AM2" s="8"/>
      <c r="AN2" s="8"/>
    </row>
    <row r="3">
      <c r="A3" s="4">
        <v>38299.0</v>
      </c>
      <c r="B3" s="5" t="s">
        <v>25</v>
      </c>
      <c r="C3" s="5">
        <v>2004.0</v>
      </c>
      <c r="D3" s="6">
        <v>38322.0</v>
      </c>
      <c r="E3" s="5" t="s">
        <v>17</v>
      </c>
      <c r="F3" s="5" t="s">
        <v>18</v>
      </c>
      <c r="G3" s="5" t="s">
        <v>19</v>
      </c>
      <c r="H3" s="5"/>
      <c r="I3" s="5" t="s">
        <v>20</v>
      </c>
      <c r="J3" s="5" t="s">
        <v>21</v>
      </c>
      <c r="K3" s="5" t="s">
        <v>26</v>
      </c>
      <c r="L3" s="9">
        <v>46.25</v>
      </c>
      <c r="M3" s="5">
        <v>48.43333</v>
      </c>
      <c r="N3" s="5" t="s">
        <v>23</v>
      </c>
      <c r="O3" s="10" t="s">
        <v>27</v>
      </c>
      <c r="P3" s="8"/>
      <c r="Q3" s="8"/>
      <c r="R3" s="8"/>
      <c r="S3" s="8"/>
      <c r="T3" s="8"/>
      <c r="U3" s="8"/>
      <c r="V3" s="8"/>
      <c r="W3" s="8"/>
      <c r="X3" s="8"/>
      <c r="Y3" s="8"/>
      <c r="Z3" s="8"/>
      <c r="AA3" s="8"/>
      <c r="AB3" s="8"/>
      <c r="AC3" s="8"/>
      <c r="AD3" s="8"/>
      <c r="AE3" s="8"/>
      <c r="AF3" s="8"/>
      <c r="AG3" s="8"/>
      <c r="AH3" s="8"/>
      <c r="AI3" s="8"/>
      <c r="AJ3" s="8"/>
      <c r="AK3" s="8"/>
      <c r="AL3" s="8"/>
      <c r="AM3" s="8"/>
      <c r="AN3" s="8"/>
    </row>
    <row r="4">
      <c r="A4" s="4">
        <v>38342.0</v>
      </c>
      <c r="B4" s="5" t="s">
        <v>16</v>
      </c>
      <c r="C4" s="5">
        <v>2005.0</v>
      </c>
      <c r="D4" s="6">
        <v>38367.0</v>
      </c>
      <c r="E4" s="5" t="s">
        <v>17</v>
      </c>
      <c r="F4" s="5" t="s">
        <v>18</v>
      </c>
      <c r="G4" s="5" t="s">
        <v>28</v>
      </c>
      <c r="H4" s="5"/>
      <c r="I4" s="5" t="s">
        <v>20</v>
      </c>
      <c r="J4" s="5" t="s">
        <v>21</v>
      </c>
      <c r="K4" s="5" t="s">
        <v>22</v>
      </c>
      <c r="L4" s="5">
        <v>45.46</v>
      </c>
      <c r="M4" s="5">
        <v>46.25</v>
      </c>
      <c r="N4" s="5" t="s">
        <v>23</v>
      </c>
      <c r="O4" s="10" t="s">
        <v>29</v>
      </c>
      <c r="P4" s="8"/>
      <c r="Q4" s="8"/>
      <c r="R4" s="8"/>
      <c r="S4" s="8"/>
      <c r="T4" s="8"/>
      <c r="U4" s="8"/>
      <c r="V4" s="8"/>
      <c r="W4" s="8"/>
      <c r="X4" s="8"/>
      <c r="Y4" s="8"/>
      <c r="Z4" s="8"/>
      <c r="AA4" s="8"/>
      <c r="AB4" s="8"/>
      <c r="AC4" s="8"/>
      <c r="AD4" s="8"/>
      <c r="AE4" s="8"/>
      <c r="AF4" s="8"/>
      <c r="AG4" s="8"/>
      <c r="AH4" s="8"/>
      <c r="AI4" s="8"/>
      <c r="AJ4" s="8"/>
      <c r="AK4" s="8"/>
      <c r="AL4" s="8"/>
      <c r="AM4" s="8"/>
      <c r="AN4" s="8"/>
    </row>
    <row r="5">
      <c r="A5" s="11">
        <v>39722.0</v>
      </c>
      <c r="B5" s="12" t="s">
        <v>25</v>
      </c>
      <c r="C5" s="12">
        <v>2005.0</v>
      </c>
      <c r="D5" s="6">
        <v>38367.0</v>
      </c>
      <c r="E5" s="12" t="s">
        <v>17</v>
      </c>
      <c r="F5" s="12" t="s">
        <v>18</v>
      </c>
      <c r="G5" s="12" t="s">
        <v>28</v>
      </c>
      <c r="I5" s="12" t="s">
        <v>20</v>
      </c>
      <c r="J5" s="5" t="s">
        <v>21</v>
      </c>
      <c r="K5" s="12" t="s">
        <v>26</v>
      </c>
      <c r="L5" s="5">
        <v>46.25</v>
      </c>
      <c r="M5" s="5">
        <v>48.43333</v>
      </c>
      <c r="N5" s="12" t="s">
        <v>23</v>
      </c>
      <c r="O5" s="13" t="s">
        <v>30</v>
      </c>
      <c r="P5" s="12" t="s">
        <v>31</v>
      </c>
    </row>
    <row r="6">
      <c r="A6" s="4">
        <v>38678.0</v>
      </c>
      <c r="B6" s="5" t="s">
        <v>25</v>
      </c>
      <c r="C6" s="5">
        <v>2005.0</v>
      </c>
      <c r="D6" s="6">
        <v>38687.0</v>
      </c>
      <c r="E6" s="5" t="s">
        <v>17</v>
      </c>
      <c r="F6" s="5" t="s">
        <v>18</v>
      </c>
      <c r="G6" s="5" t="s">
        <v>19</v>
      </c>
      <c r="H6" s="5"/>
      <c r="I6" s="5" t="s">
        <v>20</v>
      </c>
      <c r="J6" s="5" t="s">
        <v>21</v>
      </c>
      <c r="K6" s="5" t="s">
        <v>32</v>
      </c>
      <c r="L6" s="5">
        <v>38.908</v>
      </c>
      <c r="M6" s="5">
        <v>48.43333</v>
      </c>
      <c r="N6" s="5" t="s">
        <v>23</v>
      </c>
      <c r="O6" s="7" t="s">
        <v>33</v>
      </c>
      <c r="P6" s="5"/>
      <c r="Q6" s="8"/>
      <c r="R6" s="8"/>
      <c r="S6" s="8"/>
      <c r="T6" s="8"/>
      <c r="U6" s="8"/>
      <c r="V6" s="8"/>
      <c r="W6" s="8"/>
      <c r="X6" s="8"/>
      <c r="Y6" s="8"/>
      <c r="Z6" s="8"/>
      <c r="AA6" s="8"/>
      <c r="AB6" s="8"/>
      <c r="AC6" s="8"/>
      <c r="AD6" s="8"/>
      <c r="AE6" s="8"/>
      <c r="AF6" s="8"/>
      <c r="AG6" s="8"/>
      <c r="AH6" s="8"/>
      <c r="AI6" s="8"/>
      <c r="AJ6" s="8"/>
      <c r="AK6" s="8"/>
      <c r="AL6" s="8"/>
      <c r="AM6" s="8"/>
      <c r="AN6" s="8"/>
    </row>
    <row r="7">
      <c r="A7" s="4">
        <v>38695.0</v>
      </c>
      <c r="B7" s="5" t="s">
        <v>16</v>
      </c>
      <c r="C7" s="5">
        <v>2005.0</v>
      </c>
      <c r="D7" s="14">
        <v>38717.0</v>
      </c>
      <c r="E7" s="5" t="s">
        <v>17</v>
      </c>
      <c r="F7" s="5" t="s">
        <v>18</v>
      </c>
      <c r="G7" s="5" t="s">
        <v>28</v>
      </c>
      <c r="H7" s="5"/>
      <c r="I7" s="5" t="s">
        <v>20</v>
      </c>
      <c r="J7" s="5" t="s">
        <v>21</v>
      </c>
      <c r="K7" s="5" t="s">
        <v>32</v>
      </c>
      <c r="L7" s="5">
        <v>38.908</v>
      </c>
      <c r="M7" s="5">
        <v>48.43333</v>
      </c>
      <c r="N7" s="5" t="s">
        <v>23</v>
      </c>
      <c r="O7" s="7" t="s">
        <v>34</v>
      </c>
      <c r="P7" s="8"/>
      <c r="Q7" s="8"/>
      <c r="R7" s="8"/>
      <c r="S7" s="8"/>
      <c r="T7" s="8"/>
      <c r="U7" s="8"/>
      <c r="V7" s="8"/>
      <c r="W7" s="8"/>
      <c r="X7" s="8"/>
      <c r="Y7" s="8"/>
      <c r="Z7" s="8"/>
      <c r="AA7" s="8"/>
      <c r="AB7" s="8"/>
      <c r="AC7" s="8"/>
      <c r="AD7" s="8"/>
      <c r="AE7" s="8"/>
      <c r="AF7" s="8"/>
      <c r="AG7" s="8"/>
      <c r="AH7" s="8"/>
      <c r="AI7" s="8"/>
      <c r="AJ7" s="8"/>
      <c r="AK7" s="8"/>
      <c r="AL7" s="8"/>
      <c r="AM7" s="8"/>
      <c r="AN7" s="8"/>
    </row>
    <row r="8">
      <c r="A8" s="4">
        <v>38695.0</v>
      </c>
      <c r="B8" s="5" t="s">
        <v>25</v>
      </c>
      <c r="C8" s="5">
        <v>2006.0</v>
      </c>
      <c r="D8" s="14">
        <v>38717.0</v>
      </c>
      <c r="E8" s="5" t="s">
        <v>17</v>
      </c>
      <c r="F8" s="5" t="s">
        <v>18</v>
      </c>
      <c r="G8" s="5" t="s">
        <v>19</v>
      </c>
      <c r="H8" s="5"/>
      <c r="I8" s="5" t="s">
        <v>35</v>
      </c>
      <c r="J8" s="5" t="s">
        <v>21</v>
      </c>
      <c r="K8" s="5" t="s">
        <v>36</v>
      </c>
      <c r="L8" s="5">
        <v>47.405</v>
      </c>
      <c r="M8" s="5">
        <v>48.07</v>
      </c>
      <c r="N8" s="5" t="s">
        <v>23</v>
      </c>
      <c r="O8" s="10" t="s">
        <v>34</v>
      </c>
      <c r="P8" s="8"/>
      <c r="Q8" s="8"/>
      <c r="R8" s="8"/>
      <c r="S8" s="8"/>
      <c r="T8" s="8"/>
      <c r="U8" s="8"/>
      <c r="V8" s="8"/>
      <c r="W8" s="8"/>
      <c r="X8" s="8"/>
      <c r="Y8" s="8"/>
      <c r="Z8" s="8"/>
      <c r="AA8" s="8"/>
      <c r="AB8" s="8"/>
      <c r="AC8" s="8"/>
      <c r="AD8" s="8"/>
      <c r="AE8" s="8"/>
      <c r="AF8" s="8"/>
      <c r="AG8" s="8"/>
      <c r="AH8" s="8"/>
      <c r="AI8" s="8"/>
      <c r="AJ8" s="8"/>
      <c r="AK8" s="8"/>
      <c r="AL8" s="8"/>
      <c r="AM8" s="8"/>
      <c r="AN8" s="8"/>
    </row>
    <row r="9">
      <c r="A9" s="4">
        <v>38695.0</v>
      </c>
      <c r="B9" s="5" t="s">
        <v>25</v>
      </c>
      <c r="C9" s="5">
        <v>2006.0</v>
      </c>
      <c r="D9" s="6">
        <v>38732.0</v>
      </c>
      <c r="E9" s="5" t="s">
        <v>17</v>
      </c>
      <c r="F9" s="5" t="s">
        <v>18</v>
      </c>
      <c r="G9" s="5" t="s">
        <v>28</v>
      </c>
      <c r="H9" s="5" t="s">
        <v>37</v>
      </c>
      <c r="I9" s="5" t="s">
        <v>35</v>
      </c>
      <c r="J9" s="5" t="s">
        <v>21</v>
      </c>
      <c r="K9" s="5" t="s">
        <v>36</v>
      </c>
      <c r="L9" s="5">
        <v>47.405</v>
      </c>
      <c r="M9" s="5">
        <v>48.07</v>
      </c>
      <c r="N9" s="5" t="s">
        <v>23</v>
      </c>
      <c r="O9" s="10" t="s">
        <v>34</v>
      </c>
      <c r="P9" s="8"/>
      <c r="Q9" s="8"/>
      <c r="R9" s="8"/>
      <c r="S9" s="8"/>
      <c r="T9" s="8"/>
      <c r="U9" s="8"/>
      <c r="V9" s="8"/>
      <c r="W9" s="8"/>
      <c r="X9" s="8"/>
      <c r="Y9" s="8"/>
      <c r="Z9" s="8"/>
      <c r="AA9" s="8"/>
      <c r="AB9" s="8"/>
      <c r="AC9" s="8"/>
      <c r="AD9" s="8"/>
      <c r="AE9" s="8"/>
      <c r="AF9" s="8"/>
      <c r="AG9" s="8"/>
      <c r="AH9" s="8"/>
      <c r="AI9" s="8"/>
      <c r="AJ9" s="8"/>
      <c r="AK9" s="8"/>
      <c r="AL9" s="8"/>
      <c r="AM9" s="8"/>
      <c r="AN9" s="8"/>
    </row>
    <row r="10">
      <c r="A10" s="4">
        <v>39043.0</v>
      </c>
      <c r="B10" s="5" t="s">
        <v>16</v>
      </c>
      <c r="C10" s="5">
        <v>2006.0</v>
      </c>
      <c r="D10" s="6">
        <v>39052.0</v>
      </c>
      <c r="E10" s="5" t="s">
        <v>17</v>
      </c>
      <c r="F10" s="5" t="s">
        <v>18</v>
      </c>
      <c r="G10" s="5" t="s">
        <v>28</v>
      </c>
      <c r="H10" s="5"/>
      <c r="I10" s="5" t="s">
        <v>20</v>
      </c>
      <c r="J10" s="5" t="s">
        <v>21</v>
      </c>
      <c r="K10" s="5" t="s">
        <v>38</v>
      </c>
      <c r="L10" s="9">
        <v>42.0</v>
      </c>
      <c r="M10" s="5">
        <v>46.25</v>
      </c>
      <c r="N10" s="5" t="s">
        <v>23</v>
      </c>
      <c r="O10" s="7" t="s">
        <v>39</v>
      </c>
      <c r="P10" s="5"/>
      <c r="Q10" s="8"/>
      <c r="R10" s="8"/>
      <c r="S10" s="8"/>
      <c r="T10" s="8"/>
      <c r="U10" s="8"/>
      <c r="V10" s="8"/>
      <c r="W10" s="8"/>
      <c r="X10" s="8"/>
      <c r="Y10" s="8"/>
      <c r="Z10" s="8"/>
      <c r="AA10" s="8"/>
      <c r="AB10" s="8"/>
      <c r="AC10" s="8"/>
      <c r="AD10" s="8"/>
      <c r="AE10" s="8"/>
      <c r="AF10" s="8"/>
      <c r="AG10" s="8"/>
      <c r="AH10" s="8"/>
      <c r="AI10" s="8"/>
      <c r="AJ10" s="8"/>
      <c r="AK10" s="8"/>
      <c r="AL10" s="8"/>
      <c r="AM10" s="8"/>
      <c r="AN10" s="8"/>
    </row>
    <row r="11">
      <c r="A11" s="4">
        <v>39043.0</v>
      </c>
      <c r="B11" s="5" t="s">
        <v>25</v>
      </c>
      <c r="C11" s="5">
        <v>2006.0</v>
      </c>
      <c r="D11" s="6">
        <v>39052.0</v>
      </c>
      <c r="E11" s="5" t="s">
        <v>17</v>
      </c>
      <c r="F11" s="5" t="s">
        <v>18</v>
      </c>
      <c r="G11" s="5" t="s">
        <v>19</v>
      </c>
      <c r="H11" s="5"/>
      <c r="I11" s="5" t="s">
        <v>35</v>
      </c>
      <c r="J11" s="5" t="s">
        <v>40</v>
      </c>
      <c r="K11" s="5" t="s">
        <v>41</v>
      </c>
      <c r="L11" s="5">
        <v>46.25</v>
      </c>
      <c r="M11" s="5">
        <v>46.28</v>
      </c>
      <c r="N11" s="5" t="s">
        <v>23</v>
      </c>
      <c r="O11" s="7" t="s">
        <v>42</v>
      </c>
      <c r="P11" s="8"/>
      <c r="Q11" s="8"/>
      <c r="R11" s="8"/>
      <c r="S11" s="8"/>
      <c r="T11" s="8"/>
      <c r="U11" s="8"/>
      <c r="V11" s="8"/>
      <c r="W11" s="8"/>
      <c r="X11" s="8"/>
      <c r="Y11" s="8"/>
      <c r="Z11" s="8"/>
      <c r="AA11" s="8"/>
      <c r="AB11" s="8"/>
      <c r="AC11" s="8"/>
      <c r="AD11" s="8"/>
      <c r="AE11" s="8"/>
      <c r="AF11" s="8"/>
      <c r="AG11" s="8"/>
      <c r="AH11" s="8"/>
      <c r="AI11" s="8"/>
      <c r="AJ11" s="8"/>
      <c r="AK11" s="8"/>
      <c r="AL11" s="8"/>
      <c r="AM11" s="8"/>
      <c r="AN11" s="8"/>
    </row>
    <row r="12">
      <c r="A12" s="4">
        <v>39043.0</v>
      </c>
      <c r="B12" s="5" t="s">
        <v>25</v>
      </c>
      <c r="C12" s="5">
        <v>2006.0</v>
      </c>
      <c r="D12" s="6">
        <v>39052.0</v>
      </c>
      <c r="E12" s="5" t="s">
        <v>17</v>
      </c>
      <c r="F12" s="5" t="s">
        <v>18</v>
      </c>
      <c r="G12" s="5" t="s">
        <v>19</v>
      </c>
      <c r="H12" s="5"/>
      <c r="I12" s="5" t="s">
        <v>35</v>
      </c>
      <c r="J12" s="5" t="s">
        <v>21</v>
      </c>
      <c r="K12" s="5" t="s">
        <v>43</v>
      </c>
      <c r="L12" s="5">
        <v>46.28</v>
      </c>
      <c r="M12" s="5">
        <v>47.405</v>
      </c>
      <c r="N12" s="5" t="s">
        <v>23</v>
      </c>
      <c r="O12" s="7" t="s">
        <v>42</v>
      </c>
      <c r="P12" s="8"/>
      <c r="Q12" s="8"/>
      <c r="R12" s="8"/>
      <c r="S12" s="8"/>
      <c r="T12" s="8"/>
      <c r="U12" s="8"/>
      <c r="V12" s="8"/>
      <c r="W12" s="8"/>
      <c r="X12" s="8"/>
      <c r="Y12" s="8"/>
      <c r="Z12" s="8"/>
      <c r="AA12" s="8"/>
      <c r="AB12" s="8"/>
      <c r="AC12" s="8"/>
      <c r="AD12" s="8"/>
      <c r="AE12" s="8"/>
      <c r="AF12" s="8"/>
      <c r="AG12" s="8"/>
      <c r="AH12" s="8"/>
      <c r="AI12" s="8"/>
      <c r="AJ12" s="8"/>
      <c r="AK12" s="8"/>
      <c r="AL12" s="8"/>
      <c r="AM12" s="8"/>
      <c r="AN12" s="8"/>
    </row>
    <row r="13">
      <c r="A13" s="4">
        <v>39043.0</v>
      </c>
      <c r="B13" s="5" t="s">
        <v>25</v>
      </c>
      <c r="C13" s="5">
        <v>2006.0</v>
      </c>
      <c r="D13" s="6">
        <v>39087.0</v>
      </c>
      <c r="E13" s="5" t="s">
        <v>17</v>
      </c>
      <c r="F13" s="5" t="s">
        <v>18</v>
      </c>
      <c r="G13" s="5" t="s">
        <v>28</v>
      </c>
      <c r="H13" s="5" t="s">
        <v>37</v>
      </c>
      <c r="I13" s="5" t="s">
        <v>35</v>
      </c>
      <c r="J13" s="5" t="s">
        <v>21</v>
      </c>
      <c r="K13" s="5" t="s">
        <v>43</v>
      </c>
      <c r="L13" s="5">
        <v>46.28</v>
      </c>
      <c r="M13" s="5">
        <v>47.405</v>
      </c>
      <c r="N13" s="5" t="s">
        <v>23</v>
      </c>
      <c r="O13" s="7" t="s">
        <v>42</v>
      </c>
      <c r="P13" s="15" t="s">
        <v>44</v>
      </c>
      <c r="Q13" s="8"/>
      <c r="R13" s="8"/>
      <c r="S13" s="8"/>
      <c r="T13" s="8"/>
      <c r="U13" s="8"/>
      <c r="V13" s="8"/>
      <c r="W13" s="8"/>
      <c r="X13" s="8"/>
      <c r="Y13" s="8"/>
      <c r="Z13" s="8"/>
      <c r="AA13" s="8"/>
      <c r="AB13" s="8"/>
      <c r="AC13" s="8"/>
      <c r="AD13" s="8"/>
      <c r="AE13" s="8"/>
      <c r="AF13" s="8"/>
      <c r="AG13" s="8"/>
      <c r="AH13" s="8"/>
      <c r="AI13" s="8"/>
      <c r="AJ13" s="8"/>
      <c r="AK13" s="8"/>
      <c r="AL13" s="8"/>
      <c r="AM13" s="8"/>
      <c r="AN13" s="8"/>
    </row>
    <row r="14">
      <c r="A14" s="4">
        <v>39043.0</v>
      </c>
      <c r="B14" s="5" t="s">
        <v>25</v>
      </c>
      <c r="C14" s="5">
        <v>2006.0</v>
      </c>
      <c r="D14" s="6">
        <v>39052.0</v>
      </c>
      <c r="E14" s="5" t="s">
        <v>17</v>
      </c>
      <c r="F14" s="5" t="s">
        <v>18</v>
      </c>
      <c r="G14" s="5" t="s">
        <v>19</v>
      </c>
      <c r="H14" s="5"/>
      <c r="I14" s="5" t="s">
        <v>35</v>
      </c>
      <c r="J14" s="5" t="s">
        <v>21</v>
      </c>
      <c r="K14" s="5" t="s">
        <v>36</v>
      </c>
      <c r="L14" s="5">
        <v>47.405</v>
      </c>
      <c r="M14" s="5">
        <v>48.07</v>
      </c>
      <c r="N14" s="5" t="s">
        <v>23</v>
      </c>
      <c r="O14" s="7" t="s">
        <v>42</v>
      </c>
      <c r="P14" s="5" t="s">
        <v>45</v>
      </c>
      <c r="Q14" s="8"/>
      <c r="R14" s="8"/>
      <c r="S14" s="8"/>
      <c r="T14" s="8"/>
      <c r="U14" s="8"/>
      <c r="V14" s="8"/>
      <c r="W14" s="8"/>
      <c r="X14" s="8"/>
      <c r="Y14" s="8"/>
      <c r="Z14" s="8"/>
      <c r="AA14" s="8"/>
      <c r="AB14" s="8"/>
      <c r="AC14" s="8"/>
      <c r="AD14" s="8"/>
      <c r="AE14" s="8"/>
      <c r="AF14" s="8"/>
      <c r="AG14" s="8"/>
      <c r="AH14" s="8"/>
      <c r="AI14" s="8"/>
      <c r="AJ14" s="8"/>
      <c r="AK14" s="8"/>
      <c r="AL14" s="8"/>
      <c r="AM14" s="8"/>
      <c r="AN14" s="8"/>
    </row>
    <row r="15">
      <c r="A15" s="4">
        <v>39043.0</v>
      </c>
      <c r="B15" s="5" t="s">
        <v>25</v>
      </c>
      <c r="C15" s="5">
        <v>2006.0</v>
      </c>
      <c r="D15" s="6">
        <v>39052.0</v>
      </c>
      <c r="E15" s="5" t="s">
        <v>17</v>
      </c>
      <c r="F15" s="5" t="s">
        <v>18</v>
      </c>
      <c r="G15" s="5" t="s">
        <v>19</v>
      </c>
      <c r="H15" s="5"/>
      <c r="I15" s="5" t="s">
        <v>35</v>
      </c>
      <c r="J15" s="5" t="s">
        <v>21</v>
      </c>
      <c r="K15" s="5" t="s">
        <v>46</v>
      </c>
      <c r="L15" s="5">
        <v>48.07</v>
      </c>
      <c r="M15" s="5">
        <v>48.43333</v>
      </c>
      <c r="N15" s="5" t="s">
        <v>23</v>
      </c>
      <c r="O15" s="7" t="s">
        <v>42</v>
      </c>
      <c r="P15" s="8"/>
      <c r="Q15" s="8"/>
      <c r="R15" s="8"/>
      <c r="S15" s="8"/>
      <c r="T15" s="8"/>
      <c r="U15" s="8"/>
      <c r="V15" s="8"/>
      <c r="W15" s="8"/>
      <c r="X15" s="8"/>
      <c r="Y15" s="8"/>
      <c r="Z15" s="8"/>
      <c r="AA15" s="8"/>
      <c r="AB15" s="8"/>
      <c r="AC15" s="8"/>
      <c r="AD15" s="8"/>
      <c r="AE15" s="8"/>
      <c r="AF15" s="8"/>
      <c r="AG15" s="8"/>
      <c r="AH15" s="8"/>
      <c r="AI15" s="8"/>
      <c r="AJ15" s="8"/>
      <c r="AK15" s="8"/>
      <c r="AL15" s="8"/>
      <c r="AM15" s="8"/>
      <c r="AN15" s="8"/>
    </row>
    <row r="16">
      <c r="A16" s="4">
        <v>39043.0</v>
      </c>
      <c r="B16" s="5" t="s">
        <v>25</v>
      </c>
      <c r="C16" s="5">
        <v>2006.0</v>
      </c>
      <c r="D16" s="6">
        <v>39098.0</v>
      </c>
      <c r="E16" s="5" t="s">
        <v>17</v>
      </c>
      <c r="F16" s="5" t="s">
        <v>18</v>
      </c>
      <c r="G16" s="5" t="s">
        <v>28</v>
      </c>
      <c r="H16" s="5"/>
      <c r="I16" s="5" t="s">
        <v>35</v>
      </c>
      <c r="J16" s="5" t="s">
        <v>21</v>
      </c>
      <c r="K16" s="5" t="s">
        <v>36</v>
      </c>
      <c r="L16" s="5">
        <v>47.405</v>
      </c>
      <c r="M16" s="5">
        <v>48.07</v>
      </c>
      <c r="N16" s="5" t="s">
        <v>23</v>
      </c>
      <c r="O16" s="7" t="s">
        <v>42</v>
      </c>
      <c r="P16" s="5" t="s">
        <v>45</v>
      </c>
      <c r="Q16" s="8"/>
      <c r="R16" s="8"/>
      <c r="S16" s="8"/>
      <c r="T16" s="8"/>
      <c r="U16" s="8"/>
      <c r="V16" s="8"/>
      <c r="W16" s="8"/>
      <c r="X16" s="8"/>
      <c r="Y16" s="8"/>
      <c r="Z16" s="8"/>
      <c r="AA16" s="8"/>
      <c r="AB16" s="8"/>
      <c r="AC16" s="8"/>
      <c r="AD16" s="8"/>
      <c r="AE16" s="8"/>
      <c r="AF16" s="8"/>
      <c r="AG16" s="8"/>
      <c r="AH16" s="8"/>
      <c r="AI16" s="8"/>
      <c r="AJ16" s="8"/>
      <c r="AK16" s="8"/>
      <c r="AL16" s="8"/>
      <c r="AM16" s="8"/>
      <c r="AN16" s="8"/>
    </row>
    <row r="17">
      <c r="A17" s="4">
        <v>39043.0</v>
      </c>
      <c r="B17" s="5" t="s">
        <v>25</v>
      </c>
      <c r="C17" s="5">
        <v>2006.0</v>
      </c>
      <c r="D17" s="6">
        <v>39087.0</v>
      </c>
      <c r="E17" s="5" t="s">
        <v>17</v>
      </c>
      <c r="F17" s="5" t="s">
        <v>18</v>
      </c>
      <c r="G17" s="5" t="s">
        <v>28</v>
      </c>
      <c r="H17" s="5" t="s">
        <v>37</v>
      </c>
      <c r="I17" s="5" t="s">
        <v>35</v>
      </c>
      <c r="J17" s="5" t="s">
        <v>21</v>
      </c>
      <c r="K17" s="5" t="s">
        <v>46</v>
      </c>
      <c r="L17" s="5">
        <v>48.07</v>
      </c>
      <c r="M17" s="5">
        <v>48.43333</v>
      </c>
      <c r="N17" s="5" t="s">
        <v>23</v>
      </c>
      <c r="O17" s="7" t="s">
        <v>42</v>
      </c>
      <c r="P17" s="8"/>
      <c r="Q17" s="8"/>
      <c r="R17" s="8"/>
      <c r="S17" s="8"/>
      <c r="T17" s="8"/>
      <c r="U17" s="8"/>
      <c r="V17" s="8"/>
      <c r="W17" s="8"/>
      <c r="X17" s="8"/>
      <c r="Y17" s="8"/>
      <c r="Z17" s="8"/>
      <c r="AA17" s="8"/>
      <c r="AB17" s="8"/>
      <c r="AC17" s="8"/>
      <c r="AD17" s="8"/>
      <c r="AE17" s="8"/>
      <c r="AF17" s="8"/>
      <c r="AG17" s="8"/>
      <c r="AH17" s="8"/>
      <c r="AI17" s="8"/>
      <c r="AJ17" s="8"/>
      <c r="AK17" s="8"/>
      <c r="AL17" s="8"/>
      <c r="AM17" s="8"/>
      <c r="AN17" s="8"/>
    </row>
    <row r="18">
      <c r="A18" s="4">
        <v>39043.0</v>
      </c>
      <c r="B18" s="5" t="s">
        <v>25</v>
      </c>
      <c r="C18" s="5">
        <v>2006.0</v>
      </c>
      <c r="D18" s="6">
        <v>39088.0</v>
      </c>
      <c r="E18" s="5" t="s">
        <v>17</v>
      </c>
      <c r="F18" s="5" t="s">
        <v>18</v>
      </c>
      <c r="G18" s="5" t="s">
        <v>28</v>
      </c>
      <c r="H18" s="5" t="s">
        <v>37</v>
      </c>
      <c r="I18" s="5" t="s">
        <v>35</v>
      </c>
      <c r="J18" s="5" t="s">
        <v>40</v>
      </c>
      <c r="K18" s="5" t="s">
        <v>41</v>
      </c>
      <c r="L18" s="5">
        <v>46.25</v>
      </c>
      <c r="M18" s="5">
        <v>46.28</v>
      </c>
      <c r="N18" s="5" t="s">
        <v>23</v>
      </c>
      <c r="O18" s="7" t="s">
        <v>42</v>
      </c>
      <c r="P18" s="5" t="s">
        <v>47</v>
      </c>
      <c r="Q18" s="8"/>
      <c r="R18" s="8"/>
      <c r="S18" s="8"/>
      <c r="T18" s="8"/>
      <c r="U18" s="8"/>
      <c r="V18" s="8"/>
      <c r="W18" s="8"/>
      <c r="X18" s="8"/>
      <c r="Y18" s="8"/>
      <c r="Z18" s="8"/>
      <c r="AA18" s="8"/>
      <c r="AB18" s="8"/>
      <c r="AC18" s="8"/>
      <c r="AD18" s="8"/>
      <c r="AE18" s="8"/>
      <c r="AF18" s="8"/>
      <c r="AG18" s="8"/>
      <c r="AH18" s="8"/>
      <c r="AI18" s="8"/>
      <c r="AJ18" s="8"/>
      <c r="AK18" s="8"/>
      <c r="AL18" s="8"/>
      <c r="AM18" s="8"/>
      <c r="AN18" s="8"/>
    </row>
    <row r="19">
      <c r="A19" s="4">
        <v>39400.0</v>
      </c>
      <c r="B19" s="5" t="s">
        <v>48</v>
      </c>
      <c r="C19" s="5">
        <v>2007.0</v>
      </c>
      <c r="D19" s="14">
        <v>39400.0</v>
      </c>
      <c r="E19" s="5" t="s">
        <v>17</v>
      </c>
      <c r="F19" s="5" t="s">
        <v>49</v>
      </c>
      <c r="G19" s="5" t="s">
        <v>19</v>
      </c>
      <c r="H19" s="5"/>
      <c r="I19" s="5" t="s">
        <v>50</v>
      </c>
      <c r="J19" s="5" t="s">
        <v>21</v>
      </c>
      <c r="K19" s="5" t="s">
        <v>51</v>
      </c>
      <c r="L19" s="5">
        <v>37.6</v>
      </c>
      <c r="M19" s="5">
        <v>38.0</v>
      </c>
      <c r="N19" s="5" t="s">
        <v>23</v>
      </c>
      <c r="O19" s="7" t="s">
        <v>52</v>
      </c>
      <c r="P19" s="5" t="s">
        <v>53</v>
      </c>
      <c r="Q19" s="8"/>
      <c r="R19" s="8"/>
      <c r="S19" s="8"/>
      <c r="T19" s="8"/>
      <c r="U19" s="8"/>
      <c r="V19" s="8"/>
      <c r="W19" s="8"/>
      <c r="X19" s="8"/>
      <c r="Y19" s="8"/>
      <c r="Z19" s="8"/>
      <c r="AA19" s="8"/>
      <c r="AB19" s="8"/>
      <c r="AC19" s="8"/>
      <c r="AD19" s="8"/>
      <c r="AE19" s="8"/>
      <c r="AF19" s="8"/>
      <c r="AG19" s="8"/>
      <c r="AH19" s="8"/>
      <c r="AI19" s="8"/>
      <c r="AJ19" s="8"/>
      <c r="AK19" s="8"/>
      <c r="AL19" s="8"/>
      <c r="AM19" s="8"/>
      <c r="AN19" s="8"/>
    </row>
    <row r="20">
      <c r="A20" s="4">
        <v>39400.0</v>
      </c>
      <c r="B20" s="5" t="s">
        <v>48</v>
      </c>
      <c r="C20" s="5">
        <v>2007.0</v>
      </c>
      <c r="D20" s="14">
        <v>39417.0</v>
      </c>
      <c r="E20" s="5" t="s">
        <v>17</v>
      </c>
      <c r="F20" s="5" t="s">
        <v>49</v>
      </c>
      <c r="G20" s="5" t="s">
        <v>28</v>
      </c>
      <c r="H20" s="5" t="s">
        <v>37</v>
      </c>
      <c r="I20" s="5" t="s">
        <v>50</v>
      </c>
      <c r="J20" s="5" t="s">
        <v>21</v>
      </c>
      <c r="K20" s="5" t="s">
        <v>51</v>
      </c>
      <c r="L20" s="5">
        <v>37.6</v>
      </c>
      <c r="M20" s="5">
        <v>38.0</v>
      </c>
      <c r="N20" s="5" t="s">
        <v>23</v>
      </c>
      <c r="O20" s="7" t="s">
        <v>52</v>
      </c>
      <c r="P20" s="5" t="s">
        <v>54</v>
      </c>
      <c r="Q20" s="8"/>
      <c r="R20" s="8"/>
      <c r="S20" s="8"/>
      <c r="T20" s="8"/>
      <c r="U20" s="8"/>
      <c r="V20" s="8"/>
      <c r="W20" s="8"/>
      <c r="X20" s="8"/>
      <c r="Y20" s="8"/>
      <c r="Z20" s="8"/>
      <c r="AA20" s="8"/>
      <c r="AB20" s="8"/>
      <c r="AC20" s="8"/>
      <c r="AD20" s="8"/>
      <c r="AE20" s="8"/>
      <c r="AF20" s="8"/>
      <c r="AG20" s="8"/>
      <c r="AH20" s="8"/>
      <c r="AI20" s="8"/>
      <c r="AJ20" s="8"/>
      <c r="AK20" s="8"/>
      <c r="AL20" s="8"/>
      <c r="AM20" s="8"/>
      <c r="AN20" s="8"/>
    </row>
    <row r="21">
      <c r="A21" s="4">
        <v>39407.0</v>
      </c>
      <c r="B21" s="5" t="s">
        <v>25</v>
      </c>
      <c r="C21" s="5">
        <v>2007.0</v>
      </c>
      <c r="D21" s="6">
        <v>39417.0</v>
      </c>
      <c r="E21" s="5" t="s">
        <v>17</v>
      </c>
      <c r="F21" s="5" t="s">
        <v>18</v>
      </c>
      <c r="G21" s="5" t="s">
        <v>19</v>
      </c>
      <c r="H21" s="5"/>
      <c r="I21" s="5" t="s">
        <v>35</v>
      </c>
      <c r="J21" s="5" t="s">
        <v>40</v>
      </c>
      <c r="K21" s="5" t="s">
        <v>41</v>
      </c>
      <c r="L21" s="5">
        <v>46.25</v>
      </c>
      <c r="M21" s="5">
        <v>46.28</v>
      </c>
      <c r="N21" s="5" t="s">
        <v>23</v>
      </c>
      <c r="O21" s="7" t="s">
        <v>55</v>
      </c>
      <c r="P21" s="8"/>
      <c r="Q21" s="8"/>
      <c r="R21" s="8"/>
      <c r="S21" s="8"/>
      <c r="T21" s="8"/>
      <c r="U21" s="8"/>
      <c r="V21" s="8"/>
      <c r="W21" s="8"/>
      <c r="X21" s="8"/>
      <c r="Y21" s="8"/>
      <c r="Z21" s="8"/>
      <c r="AA21" s="8"/>
      <c r="AB21" s="8"/>
      <c r="AC21" s="8"/>
      <c r="AD21" s="8"/>
      <c r="AE21" s="8"/>
      <c r="AF21" s="8"/>
      <c r="AG21" s="8"/>
      <c r="AH21" s="8"/>
      <c r="AI21" s="8"/>
      <c r="AJ21" s="8"/>
      <c r="AK21" s="8"/>
      <c r="AL21" s="8"/>
      <c r="AM21" s="8"/>
      <c r="AN21" s="8"/>
    </row>
    <row r="22">
      <c r="A22" s="4">
        <v>39436.0</v>
      </c>
      <c r="B22" s="5" t="s">
        <v>25</v>
      </c>
      <c r="C22" s="5">
        <v>2007.0</v>
      </c>
      <c r="D22" s="6">
        <v>39446.0</v>
      </c>
      <c r="E22" s="5" t="s">
        <v>17</v>
      </c>
      <c r="F22" s="5" t="s">
        <v>18</v>
      </c>
      <c r="G22" s="5" t="s">
        <v>28</v>
      </c>
      <c r="H22" s="5"/>
      <c r="I22" s="5" t="s">
        <v>35</v>
      </c>
      <c r="J22" s="5" t="s">
        <v>40</v>
      </c>
      <c r="K22" s="5" t="s">
        <v>41</v>
      </c>
      <c r="L22" s="5">
        <v>46.25</v>
      </c>
      <c r="M22" s="5">
        <v>46.28</v>
      </c>
      <c r="N22" s="5" t="s">
        <v>23</v>
      </c>
      <c r="O22" s="7" t="s">
        <v>56</v>
      </c>
      <c r="P22" s="8"/>
      <c r="Q22" s="8"/>
      <c r="R22" s="8"/>
      <c r="S22" s="8"/>
      <c r="T22" s="8"/>
      <c r="U22" s="8"/>
      <c r="V22" s="8"/>
      <c r="W22" s="8"/>
      <c r="X22" s="8"/>
      <c r="Y22" s="8"/>
      <c r="Z22" s="8"/>
      <c r="AA22" s="8"/>
      <c r="AB22" s="8"/>
      <c r="AC22" s="8"/>
      <c r="AD22" s="8"/>
      <c r="AE22" s="8"/>
      <c r="AF22" s="8"/>
      <c r="AG22" s="8"/>
      <c r="AH22" s="8"/>
      <c r="AI22" s="8"/>
      <c r="AJ22" s="8"/>
      <c r="AK22" s="8"/>
      <c r="AL22" s="8"/>
      <c r="AM22" s="8"/>
      <c r="AN22" s="8"/>
    </row>
    <row r="23">
      <c r="A23" s="4">
        <v>39436.0</v>
      </c>
      <c r="B23" s="5" t="s">
        <v>25</v>
      </c>
      <c r="C23" s="5">
        <v>2007.0</v>
      </c>
      <c r="D23" s="14">
        <v>39417.0</v>
      </c>
      <c r="E23" s="5" t="s">
        <v>17</v>
      </c>
      <c r="F23" s="5" t="s">
        <v>18</v>
      </c>
      <c r="G23" s="5" t="s">
        <v>19</v>
      </c>
      <c r="H23" s="5"/>
      <c r="I23" s="5" t="s">
        <v>35</v>
      </c>
      <c r="J23" s="5" t="s">
        <v>21</v>
      </c>
      <c r="K23" s="5" t="s">
        <v>43</v>
      </c>
      <c r="L23" s="5">
        <v>46.28</v>
      </c>
      <c r="M23" s="5">
        <v>47.405</v>
      </c>
      <c r="N23" s="5" t="s">
        <v>23</v>
      </c>
      <c r="O23" s="7" t="s">
        <v>56</v>
      </c>
      <c r="P23" s="5"/>
      <c r="Q23" s="8"/>
      <c r="R23" s="8"/>
      <c r="S23" s="8"/>
      <c r="T23" s="8"/>
      <c r="U23" s="8"/>
      <c r="V23" s="8"/>
      <c r="W23" s="8"/>
      <c r="X23" s="8"/>
      <c r="Y23" s="8"/>
      <c r="Z23" s="8"/>
      <c r="AA23" s="8"/>
      <c r="AB23" s="8"/>
      <c r="AC23" s="8"/>
      <c r="AD23" s="8"/>
      <c r="AE23" s="8"/>
      <c r="AF23" s="8"/>
      <c r="AG23" s="8"/>
      <c r="AH23" s="8"/>
      <c r="AI23" s="8"/>
      <c r="AJ23" s="8"/>
      <c r="AK23" s="8"/>
      <c r="AL23" s="8"/>
      <c r="AM23" s="8"/>
      <c r="AN23" s="8"/>
    </row>
    <row r="24">
      <c r="A24" s="4">
        <v>39412.0</v>
      </c>
      <c r="B24" s="5" t="s">
        <v>57</v>
      </c>
      <c r="C24" s="5">
        <v>2007.0</v>
      </c>
      <c r="D24" s="6">
        <v>39417.0</v>
      </c>
      <c r="E24" s="5" t="s">
        <v>17</v>
      </c>
      <c r="F24" s="5" t="s">
        <v>18</v>
      </c>
      <c r="G24" s="5" t="s">
        <v>28</v>
      </c>
      <c r="H24" s="5"/>
      <c r="I24" s="5" t="s">
        <v>20</v>
      </c>
      <c r="J24" s="5" t="s">
        <v>21</v>
      </c>
      <c r="K24" s="5" t="s">
        <v>58</v>
      </c>
      <c r="L24" s="5">
        <v>38.7666488</v>
      </c>
      <c r="M24" s="5">
        <v>42.0</v>
      </c>
      <c r="N24" s="5" t="s">
        <v>23</v>
      </c>
      <c r="O24" s="10" t="s">
        <v>59</v>
      </c>
      <c r="P24" s="8"/>
      <c r="Q24" s="8"/>
      <c r="R24" s="8"/>
      <c r="S24" s="8"/>
      <c r="T24" s="8"/>
      <c r="U24" s="8"/>
      <c r="V24" s="8"/>
      <c r="W24" s="8"/>
      <c r="X24" s="8"/>
      <c r="Y24" s="8"/>
      <c r="Z24" s="8"/>
      <c r="AA24" s="8"/>
      <c r="AB24" s="8"/>
      <c r="AC24" s="8"/>
      <c r="AD24" s="8"/>
      <c r="AE24" s="8"/>
      <c r="AF24" s="8"/>
      <c r="AG24" s="8"/>
      <c r="AH24" s="8"/>
      <c r="AI24" s="8"/>
      <c r="AJ24" s="8"/>
      <c r="AK24" s="8"/>
      <c r="AL24" s="8"/>
      <c r="AM24" s="8"/>
      <c r="AN24" s="8"/>
    </row>
    <row r="25">
      <c r="A25" s="4">
        <v>39436.0</v>
      </c>
      <c r="B25" s="5" t="s">
        <v>25</v>
      </c>
      <c r="C25" s="5">
        <v>2007.0</v>
      </c>
      <c r="D25" s="14">
        <v>39449.0</v>
      </c>
      <c r="E25" s="5" t="s">
        <v>17</v>
      </c>
      <c r="F25" s="5" t="s">
        <v>18</v>
      </c>
      <c r="G25" s="5" t="s">
        <v>28</v>
      </c>
      <c r="H25" s="5"/>
      <c r="I25" s="5" t="s">
        <v>35</v>
      </c>
      <c r="J25" s="5" t="s">
        <v>21</v>
      </c>
      <c r="K25" s="5" t="s">
        <v>43</v>
      </c>
      <c r="L25" s="5">
        <v>46.28</v>
      </c>
      <c r="M25" s="5">
        <v>47.405</v>
      </c>
      <c r="N25" s="5" t="s">
        <v>23</v>
      </c>
      <c r="O25" s="7" t="s">
        <v>56</v>
      </c>
      <c r="P25" s="8"/>
      <c r="Q25" s="8"/>
      <c r="R25" s="8"/>
      <c r="S25" s="8"/>
      <c r="T25" s="8"/>
      <c r="U25" s="8"/>
      <c r="V25" s="8"/>
      <c r="W25" s="8"/>
      <c r="X25" s="8"/>
      <c r="Y25" s="8"/>
      <c r="Z25" s="8"/>
      <c r="AA25" s="8"/>
      <c r="AB25" s="8"/>
      <c r="AC25" s="8"/>
      <c r="AD25" s="8"/>
      <c r="AE25" s="8"/>
      <c r="AF25" s="8"/>
      <c r="AG25" s="8"/>
      <c r="AH25" s="8"/>
      <c r="AI25" s="8"/>
      <c r="AJ25" s="8"/>
      <c r="AK25" s="8"/>
      <c r="AL25" s="8"/>
      <c r="AM25" s="8"/>
      <c r="AN25" s="8"/>
    </row>
    <row r="26">
      <c r="A26" s="4">
        <v>39436.0</v>
      </c>
      <c r="B26" s="5" t="s">
        <v>25</v>
      </c>
      <c r="C26" s="5">
        <v>2007.0</v>
      </c>
      <c r="D26" s="14">
        <v>39417.0</v>
      </c>
      <c r="E26" s="5" t="s">
        <v>17</v>
      </c>
      <c r="F26" s="5" t="s">
        <v>18</v>
      </c>
      <c r="G26" s="5" t="s">
        <v>19</v>
      </c>
      <c r="H26" s="5"/>
      <c r="I26" s="5" t="s">
        <v>35</v>
      </c>
      <c r="J26" s="5" t="s">
        <v>21</v>
      </c>
      <c r="K26" s="5" t="s">
        <v>60</v>
      </c>
      <c r="L26" s="5">
        <v>47.405</v>
      </c>
      <c r="M26" s="5">
        <v>48.43333</v>
      </c>
      <c r="N26" s="5" t="s">
        <v>23</v>
      </c>
      <c r="O26" s="10" t="s">
        <v>56</v>
      </c>
      <c r="P26" s="5"/>
      <c r="Q26" s="8"/>
      <c r="R26" s="8"/>
      <c r="S26" s="8"/>
      <c r="T26" s="8"/>
      <c r="U26" s="8"/>
      <c r="V26" s="8"/>
      <c r="W26" s="8"/>
      <c r="X26" s="8"/>
      <c r="Y26" s="8"/>
      <c r="Z26" s="8"/>
      <c r="AA26" s="8"/>
      <c r="AB26" s="8"/>
      <c r="AC26" s="8"/>
      <c r="AD26" s="8"/>
      <c r="AE26" s="8"/>
      <c r="AF26" s="8"/>
      <c r="AG26" s="8"/>
      <c r="AH26" s="8"/>
      <c r="AI26" s="8"/>
      <c r="AJ26" s="8"/>
      <c r="AK26" s="8"/>
      <c r="AL26" s="8"/>
      <c r="AM26" s="8"/>
      <c r="AN26" s="8"/>
    </row>
    <row r="27">
      <c r="A27" s="4">
        <v>39436.0</v>
      </c>
      <c r="B27" s="5" t="s">
        <v>25</v>
      </c>
      <c r="C27" s="5">
        <v>2008.0</v>
      </c>
      <c r="D27" s="14">
        <v>39462.0</v>
      </c>
      <c r="E27" s="5" t="s">
        <v>17</v>
      </c>
      <c r="F27" s="5" t="s">
        <v>18</v>
      </c>
      <c r="G27" s="5" t="s">
        <v>28</v>
      </c>
      <c r="H27" s="5" t="s">
        <v>37</v>
      </c>
      <c r="I27" s="5" t="s">
        <v>35</v>
      </c>
      <c r="J27" s="5" t="s">
        <v>21</v>
      </c>
      <c r="K27" s="5" t="s">
        <v>60</v>
      </c>
      <c r="L27" s="5">
        <v>47.405</v>
      </c>
      <c r="M27" s="5">
        <v>48.43333</v>
      </c>
      <c r="N27" s="5" t="s">
        <v>23</v>
      </c>
      <c r="O27" s="10" t="s">
        <v>56</v>
      </c>
      <c r="P27" s="5" t="s">
        <v>61</v>
      </c>
      <c r="Q27" s="8"/>
      <c r="R27" s="8"/>
      <c r="S27" s="8"/>
      <c r="T27" s="8"/>
      <c r="U27" s="8"/>
      <c r="V27" s="8"/>
      <c r="W27" s="8"/>
      <c r="X27" s="8"/>
      <c r="Y27" s="8"/>
      <c r="Z27" s="8"/>
      <c r="AA27" s="8"/>
      <c r="AB27" s="8"/>
      <c r="AC27" s="8"/>
      <c r="AD27" s="8"/>
      <c r="AE27" s="8"/>
      <c r="AF27" s="8"/>
      <c r="AG27" s="8"/>
      <c r="AH27" s="8"/>
      <c r="AI27" s="8"/>
      <c r="AJ27" s="8"/>
      <c r="AK27" s="8"/>
      <c r="AL27" s="8"/>
      <c r="AM27" s="8"/>
      <c r="AN27" s="8"/>
    </row>
    <row r="28">
      <c r="A28" s="4">
        <v>39436.0</v>
      </c>
      <c r="B28" s="5" t="s">
        <v>25</v>
      </c>
      <c r="C28" s="5">
        <v>2007.0</v>
      </c>
      <c r="D28" s="14">
        <v>39446.0</v>
      </c>
      <c r="E28" s="5" t="s">
        <v>17</v>
      </c>
      <c r="F28" s="5" t="s">
        <v>18</v>
      </c>
      <c r="G28" s="5" t="s">
        <v>19</v>
      </c>
      <c r="H28" s="5"/>
      <c r="I28" s="5" t="s">
        <v>62</v>
      </c>
      <c r="J28" s="5" t="s">
        <v>21</v>
      </c>
      <c r="K28" s="5" t="s">
        <v>63</v>
      </c>
      <c r="L28" s="5">
        <v>47.08</v>
      </c>
      <c r="M28" s="5">
        <v>47.28</v>
      </c>
      <c r="N28" s="5" t="s">
        <v>23</v>
      </c>
      <c r="O28" s="7" t="s">
        <v>56</v>
      </c>
      <c r="P28" s="8"/>
      <c r="Q28" s="8"/>
      <c r="R28" s="8"/>
      <c r="S28" s="8"/>
      <c r="T28" s="8"/>
      <c r="U28" s="8"/>
      <c r="V28" s="8"/>
      <c r="W28" s="8"/>
      <c r="X28" s="8"/>
      <c r="Y28" s="8"/>
      <c r="Z28" s="8"/>
      <c r="AA28" s="8"/>
      <c r="AB28" s="8"/>
      <c r="AC28" s="8"/>
      <c r="AD28" s="8"/>
      <c r="AE28" s="8"/>
      <c r="AF28" s="8"/>
      <c r="AG28" s="8"/>
      <c r="AH28" s="8"/>
      <c r="AI28" s="8"/>
      <c r="AJ28" s="8"/>
      <c r="AK28" s="8"/>
      <c r="AL28" s="8"/>
      <c r="AM28" s="8"/>
      <c r="AN28" s="8"/>
    </row>
    <row r="29">
      <c r="A29" s="4">
        <v>39436.0</v>
      </c>
      <c r="B29" s="5" t="s">
        <v>25</v>
      </c>
      <c r="C29" s="5">
        <v>2008.0</v>
      </c>
      <c r="D29" s="14">
        <v>39506.0</v>
      </c>
      <c r="E29" s="5" t="s">
        <v>17</v>
      </c>
      <c r="F29" s="5" t="s">
        <v>18</v>
      </c>
      <c r="G29" s="5" t="s">
        <v>19</v>
      </c>
      <c r="H29" s="5" t="s">
        <v>37</v>
      </c>
      <c r="I29" s="5" t="s">
        <v>62</v>
      </c>
      <c r="J29" s="5" t="s">
        <v>40</v>
      </c>
      <c r="K29" s="5" t="s">
        <v>64</v>
      </c>
      <c r="L29" s="5">
        <v>47.18</v>
      </c>
      <c r="M29" s="5">
        <v>47.28</v>
      </c>
      <c r="N29" s="5" t="s">
        <v>23</v>
      </c>
      <c r="O29" s="7" t="s">
        <v>56</v>
      </c>
      <c r="P29" s="8"/>
      <c r="Q29" s="8"/>
      <c r="R29" s="8"/>
      <c r="S29" s="8"/>
      <c r="T29" s="8"/>
      <c r="U29" s="8"/>
      <c r="V29" s="8"/>
      <c r="W29" s="8"/>
      <c r="X29" s="8"/>
      <c r="Y29" s="8"/>
      <c r="Z29" s="8"/>
      <c r="AA29" s="8"/>
      <c r="AB29" s="8"/>
      <c r="AC29" s="8"/>
      <c r="AD29" s="8"/>
      <c r="AE29" s="8"/>
      <c r="AF29" s="8"/>
      <c r="AG29" s="8"/>
      <c r="AH29" s="8"/>
      <c r="AI29" s="8"/>
      <c r="AJ29" s="8"/>
      <c r="AK29" s="8"/>
      <c r="AL29" s="8"/>
      <c r="AM29" s="8"/>
      <c r="AN29" s="8"/>
    </row>
    <row r="30">
      <c r="A30" s="4">
        <v>39436.0</v>
      </c>
      <c r="B30" s="5" t="s">
        <v>25</v>
      </c>
      <c r="C30" s="5">
        <v>2008.0</v>
      </c>
      <c r="D30" s="14">
        <v>39568.0</v>
      </c>
      <c r="E30" s="5" t="s">
        <v>17</v>
      </c>
      <c r="F30" s="5" t="s">
        <v>18</v>
      </c>
      <c r="G30" s="5" t="s">
        <v>28</v>
      </c>
      <c r="H30" s="5"/>
      <c r="I30" s="5" t="s">
        <v>62</v>
      </c>
      <c r="J30" s="5" t="s">
        <v>40</v>
      </c>
      <c r="K30" s="5" t="s">
        <v>64</v>
      </c>
      <c r="L30" s="5">
        <v>47.18</v>
      </c>
      <c r="M30" s="5">
        <v>47.28</v>
      </c>
      <c r="N30" s="5" t="s">
        <v>23</v>
      </c>
      <c r="O30" s="7" t="s">
        <v>56</v>
      </c>
      <c r="P30" s="8"/>
      <c r="Q30" s="8"/>
      <c r="R30" s="8"/>
      <c r="S30" s="8"/>
      <c r="T30" s="8"/>
      <c r="U30" s="8"/>
      <c r="V30" s="8"/>
      <c r="W30" s="8"/>
      <c r="X30" s="8"/>
      <c r="Y30" s="8"/>
      <c r="Z30" s="8"/>
      <c r="AA30" s="8"/>
      <c r="AB30" s="8"/>
      <c r="AC30" s="8"/>
      <c r="AD30" s="8"/>
      <c r="AE30" s="8"/>
      <c r="AF30" s="8"/>
      <c r="AG30" s="8"/>
      <c r="AH30" s="8"/>
      <c r="AI30" s="8"/>
      <c r="AJ30" s="8"/>
      <c r="AK30" s="8"/>
      <c r="AL30" s="8"/>
      <c r="AM30" s="8"/>
      <c r="AN30" s="8"/>
    </row>
    <row r="31">
      <c r="A31" s="4">
        <v>39436.0</v>
      </c>
      <c r="B31" s="5" t="s">
        <v>25</v>
      </c>
      <c r="C31" s="5">
        <v>2008.0</v>
      </c>
      <c r="D31" s="14">
        <v>39506.0</v>
      </c>
      <c r="E31" s="5" t="s">
        <v>17</v>
      </c>
      <c r="F31" s="5" t="s">
        <v>18</v>
      </c>
      <c r="G31" s="5" t="s">
        <v>19</v>
      </c>
      <c r="H31" s="5"/>
      <c r="I31" s="5" t="s">
        <v>62</v>
      </c>
      <c r="J31" s="5" t="s">
        <v>21</v>
      </c>
      <c r="K31" s="5" t="s">
        <v>65</v>
      </c>
      <c r="L31" s="5">
        <v>47.08</v>
      </c>
      <c r="M31" s="5">
        <v>47.18</v>
      </c>
      <c r="N31" s="5" t="s">
        <v>23</v>
      </c>
      <c r="O31" s="7" t="s">
        <v>56</v>
      </c>
      <c r="P31" s="5" t="s">
        <v>66</v>
      </c>
      <c r="Q31" s="8"/>
      <c r="R31" s="8"/>
      <c r="S31" s="8"/>
      <c r="T31" s="8"/>
      <c r="U31" s="8"/>
      <c r="V31" s="8"/>
      <c r="W31" s="8"/>
      <c r="X31" s="8"/>
      <c r="Y31" s="8"/>
      <c r="Z31" s="8"/>
      <c r="AA31" s="8"/>
      <c r="AB31" s="8"/>
      <c r="AC31" s="8"/>
      <c r="AD31" s="8"/>
      <c r="AE31" s="8"/>
      <c r="AF31" s="8"/>
      <c r="AG31" s="8"/>
      <c r="AH31" s="8"/>
      <c r="AI31" s="8"/>
      <c r="AJ31" s="8"/>
      <c r="AK31" s="8"/>
      <c r="AL31" s="8"/>
      <c r="AM31" s="8"/>
      <c r="AN31" s="8"/>
    </row>
    <row r="32">
      <c r="A32" s="4">
        <v>39436.0</v>
      </c>
      <c r="B32" s="5" t="s">
        <v>25</v>
      </c>
      <c r="C32" s="5">
        <v>2008.0</v>
      </c>
      <c r="D32" s="14">
        <v>39506.0</v>
      </c>
      <c r="E32" s="5" t="s">
        <v>17</v>
      </c>
      <c r="F32" s="5" t="s">
        <v>18</v>
      </c>
      <c r="G32" s="5" t="s">
        <v>19</v>
      </c>
      <c r="H32" s="5"/>
      <c r="I32" s="5" t="s">
        <v>62</v>
      </c>
      <c r="J32" s="5" t="s">
        <v>21</v>
      </c>
      <c r="K32" s="5" t="s">
        <v>67</v>
      </c>
      <c r="L32" s="5">
        <v>47.18</v>
      </c>
      <c r="M32" s="5">
        <v>47.24</v>
      </c>
      <c r="N32" s="5" t="s">
        <v>23</v>
      </c>
      <c r="O32" s="7" t="s">
        <v>56</v>
      </c>
      <c r="P32" s="5" t="s">
        <v>68</v>
      </c>
      <c r="Q32" s="8"/>
      <c r="R32" s="8"/>
      <c r="S32" s="8"/>
      <c r="T32" s="8"/>
      <c r="U32" s="8"/>
      <c r="V32" s="8"/>
      <c r="W32" s="8"/>
      <c r="X32" s="8"/>
      <c r="Y32" s="8"/>
      <c r="Z32" s="8"/>
      <c r="AA32" s="8"/>
      <c r="AB32" s="8"/>
      <c r="AC32" s="8"/>
      <c r="AD32" s="8"/>
      <c r="AE32" s="8"/>
      <c r="AF32" s="8"/>
      <c r="AG32" s="8"/>
      <c r="AH32" s="8"/>
      <c r="AI32" s="8"/>
      <c r="AJ32" s="8"/>
      <c r="AK32" s="8"/>
      <c r="AL32" s="8"/>
      <c r="AM32" s="8"/>
      <c r="AN32" s="8"/>
    </row>
    <row r="33">
      <c r="A33" s="4">
        <v>39436.0</v>
      </c>
      <c r="B33" s="5" t="s">
        <v>25</v>
      </c>
      <c r="C33" s="5">
        <v>2008.0</v>
      </c>
      <c r="D33" s="14">
        <v>39462.0</v>
      </c>
      <c r="E33" s="5" t="s">
        <v>17</v>
      </c>
      <c r="F33" s="5" t="s">
        <v>18</v>
      </c>
      <c r="G33" s="5" t="s">
        <v>19</v>
      </c>
      <c r="H33" s="5" t="s">
        <v>37</v>
      </c>
      <c r="I33" s="5" t="s">
        <v>62</v>
      </c>
      <c r="J33" s="5" t="s">
        <v>21</v>
      </c>
      <c r="K33" s="5" t="s">
        <v>69</v>
      </c>
      <c r="L33" s="5">
        <v>47.405</v>
      </c>
      <c r="M33" s="5">
        <v>47.58</v>
      </c>
      <c r="N33" s="5" t="s">
        <v>23</v>
      </c>
      <c r="O33" s="7" t="s">
        <v>56</v>
      </c>
      <c r="P33" s="8"/>
      <c r="Q33" s="8"/>
      <c r="R33" s="8"/>
      <c r="S33" s="8"/>
      <c r="T33" s="8"/>
      <c r="U33" s="8"/>
      <c r="V33" s="8"/>
      <c r="W33" s="8"/>
      <c r="X33" s="8"/>
      <c r="Y33" s="8"/>
      <c r="Z33" s="8"/>
      <c r="AA33" s="8"/>
      <c r="AB33" s="8"/>
      <c r="AC33" s="8"/>
      <c r="AD33" s="8"/>
      <c r="AE33" s="8"/>
      <c r="AF33" s="8"/>
      <c r="AG33" s="8"/>
      <c r="AH33" s="8"/>
      <c r="AI33" s="8"/>
      <c r="AJ33" s="8"/>
      <c r="AK33" s="8"/>
      <c r="AL33" s="8"/>
      <c r="AM33" s="8"/>
      <c r="AN33" s="8"/>
    </row>
    <row r="34">
      <c r="A34" s="4">
        <v>39436.0</v>
      </c>
      <c r="B34" s="5" t="s">
        <v>25</v>
      </c>
      <c r="C34" s="5">
        <v>2008.0</v>
      </c>
      <c r="D34" s="14">
        <v>39569.0</v>
      </c>
      <c r="E34" s="5" t="s">
        <v>17</v>
      </c>
      <c r="F34" s="5" t="s">
        <v>18</v>
      </c>
      <c r="G34" s="5" t="s">
        <v>19</v>
      </c>
      <c r="H34" s="5"/>
      <c r="I34" s="5" t="s">
        <v>62</v>
      </c>
      <c r="J34" s="5" t="s">
        <v>40</v>
      </c>
      <c r="K34" s="5" t="s">
        <v>69</v>
      </c>
      <c r="L34" s="5">
        <v>47.405</v>
      </c>
      <c r="M34" s="5">
        <v>47.58</v>
      </c>
      <c r="N34" s="5" t="s">
        <v>23</v>
      </c>
      <c r="O34" s="7" t="s">
        <v>56</v>
      </c>
      <c r="P34" s="8"/>
      <c r="Q34" s="8"/>
      <c r="R34" s="8"/>
      <c r="S34" s="8"/>
      <c r="T34" s="8"/>
      <c r="U34" s="8"/>
      <c r="V34" s="8"/>
      <c r="W34" s="8"/>
      <c r="X34" s="8"/>
      <c r="Y34" s="8"/>
      <c r="Z34" s="8"/>
      <c r="AA34" s="8"/>
      <c r="AB34" s="8"/>
      <c r="AC34" s="8"/>
      <c r="AD34" s="8"/>
      <c r="AE34" s="8"/>
      <c r="AF34" s="8"/>
      <c r="AG34" s="8"/>
      <c r="AH34" s="8"/>
      <c r="AI34" s="8"/>
      <c r="AJ34" s="8"/>
      <c r="AK34" s="8"/>
      <c r="AL34" s="8"/>
      <c r="AM34" s="8"/>
      <c r="AN34" s="8"/>
    </row>
    <row r="35">
      <c r="A35" s="4">
        <v>39436.0</v>
      </c>
      <c r="B35" s="5" t="s">
        <v>25</v>
      </c>
      <c r="C35" s="5">
        <v>2008.0</v>
      </c>
      <c r="D35" s="14">
        <v>39600.0</v>
      </c>
      <c r="E35" s="5" t="s">
        <v>17</v>
      </c>
      <c r="F35" s="5" t="s">
        <v>18</v>
      </c>
      <c r="G35" s="5" t="s">
        <v>28</v>
      </c>
      <c r="H35" s="5"/>
      <c r="I35" s="5" t="s">
        <v>62</v>
      </c>
      <c r="J35" s="5" t="s">
        <v>40</v>
      </c>
      <c r="K35" s="5" t="s">
        <v>69</v>
      </c>
      <c r="L35" s="5">
        <v>47.405</v>
      </c>
      <c r="M35" s="5">
        <v>47.58</v>
      </c>
      <c r="N35" s="5" t="s">
        <v>23</v>
      </c>
      <c r="O35" s="7" t="s">
        <v>56</v>
      </c>
      <c r="P35" s="8"/>
      <c r="Q35" s="8"/>
      <c r="R35" s="8"/>
      <c r="S35" s="8"/>
      <c r="T35" s="8"/>
      <c r="U35" s="8"/>
      <c r="V35" s="8"/>
      <c r="W35" s="8"/>
      <c r="X35" s="8"/>
      <c r="Y35" s="8"/>
      <c r="Z35" s="8"/>
      <c r="AA35" s="8"/>
      <c r="AB35" s="8"/>
      <c r="AC35" s="8"/>
      <c r="AD35" s="8"/>
      <c r="AE35" s="8"/>
      <c r="AF35" s="8"/>
      <c r="AG35" s="8"/>
      <c r="AH35" s="8"/>
      <c r="AI35" s="8"/>
      <c r="AJ35" s="8"/>
      <c r="AK35" s="8"/>
      <c r="AL35" s="8"/>
      <c r="AM35" s="8"/>
      <c r="AN35" s="8"/>
    </row>
    <row r="36">
      <c r="A36" s="4">
        <v>39436.0</v>
      </c>
      <c r="B36" s="5" t="s">
        <v>25</v>
      </c>
      <c r="C36" s="5">
        <v>2008.0</v>
      </c>
      <c r="D36" s="6">
        <v>39462.0</v>
      </c>
      <c r="E36" s="5" t="s">
        <v>17</v>
      </c>
      <c r="F36" s="5" t="s">
        <v>18</v>
      </c>
      <c r="G36" s="5" t="s">
        <v>19</v>
      </c>
      <c r="H36" s="5" t="s">
        <v>37</v>
      </c>
      <c r="I36" s="5" t="s">
        <v>62</v>
      </c>
      <c r="J36" s="5" t="s">
        <v>21</v>
      </c>
      <c r="K36" s="5" t="s">
        <v>70</v>
      </c>
      <c r="L36" s="5">
        <v>48.02</v>
      </c>
      <c r="M36" s="5">
        <v>48.195</v>
      </c>
      <c r="N36" s="5" t="s">
        <v>23</v>
      </c>
      <c r="O36" s="7" t="s">
        <v>56</v>
      </c>
      <c r="P36" s="8"/>
      <c r="Q36" s="8"/>
      <c r="R36" s="8"/>
      <c r="S36" s="8"/>
      <c r="T36" s="8"/>
      <c r="U36" s="8"/>
      <c r="V36" s="8"/>
      <c r="W36" s="8"/>
      <c r="X36" s="8"/>
      <c r="Y36" s="8"/>
      <c r="Z36" s="8"/>
      <c r="AA36" s="8"/>
      <c r="AB36" s="8"/>
      <c r="AC36" s="8"/>
      <c r="AD36" s="8"/>
      <c r="AE36" s="8"/>
      <c r="AF36" s="8"/>
      <c r="AG36" s="8"/>
      <c r="AH36" s="8"/>
      <c r="AI36" s="8"/>
      <c r="AJ36" s="8"/>
      <c r="AK36" s="8"/>
      <c r="AL36" s="8"/>
      <c r="AM36" s="8"/>
      <c r="AN36" s="8"/>
    </row>
    <row r="37">
      <c r="A37" s="4">
        <v>39436.0</v>
      </c>
      <c r="B37" s="5" t="s">
        <v>25</v>
      </c>
      <c r="C37" s="5">
        <v>2008.0</v>
      </c>
      <c r="D37" s="6">
        <v>39493.0</v>
      </c>
      <c r="E37" s="5" t="s">
        <v>17</v>
      </c>
      <c r="F37" s="5" t="s">
        <v>18</v>
      </c>
      <c r="G37" s="5" t="s">
        <v>28</v>
      </c>
      <c r="H37" s="5" t="s">
        <v>37</v>
      </c>
      <c r="I37" s="5" t="s">
        <v>62</v>
      </c>
      <c r="J37" s="5" t="s">
        <v>21</v>
      </c>
      <c r="K37" s="5" t="s">
        <v>70</v>
      </c>
      <c r="L37" s="5">
        <v>48.02</v>
      </c>
      <c r="M37" s="5">
        <v>48.195</v>
      </c>
      <c r="N37" s="5" t="s">
        <v>23</v>
      </c>
      <c r="O37" s="7" t="s">
        <v>56</v>
      </c>
      <c r="P37" s="8"/>
      <c r="Q37" s="8"/>
      <c r="R37" s="8"/>
      <c r="S37" s="8"/>
      <c r="T37" s="8"/>
      <c r="U37" s="8"/>
      <c r="V37" s="8"/>
      <c r="W37" s="8"/>
      <c r="X37" s="8"/>
      <c r="Y37" s="8"/>
      <c r="Z37" s="8"/>
      <c r="AA37" s="8"/>
      <c r="AB37" s="8"/>
      <c r="AC37" s="8"/>
      <c r="AD37" s="8"/>
      <c r="AE37" s="8"/>
      <c r="AF37" s="8"/>
      <c r="AG37" s="8"/>
      <c r="AH37" s="8"/>
      <c r="AI37" s="8"/>
      <c r="AJ37" s="8"/>
      <c r="AK37" s="8"/>
      <c r="AL37" s="8"/>
      <c r="AM37" s="8"/>
      <c r="AN37" s="8"/>
    </row>
    <row r="38">
      <c r="A38" s="4">
        <v>39776.0</v>
      </c>
      <c r="B38" s="5" t="s">
        <v>25</v>
      </c>
      <c r="C38" s="5">
        <v>2008.0</v>
      </c>
      <c r="D38" s="6">
        <v>39783.0</v>
      </c>
      <c r="E38" s="5" t="s">
        <v>17</v>
      </c>
      <c r="F38" s="5" t="s">
        <v>18</v>
      </c>
      <c r="G38" s="5" t="s">
        <v>19</v>
      </c>
      <c r="H38" s="5"/>
      <c r="I38" s="5" t="s">
        <v>35</v>
      </c>
      <c r="J38" s="5" t="s">
        <v>40</v>
      </c>
      <c r="K38" s="5" t="s">
        <v>41</v>
      </c>
      <c r="L38" s="5">
        <v>46.25</v>
      </c>
      <c r="M38" s="5">
        <v>46.28</v>
      </c>
      <c r="N38" s="5" t="s">
        <v>23</v>
      </c>
      <c r="O38" s="10" t="s">
        <v>71</v>
      </c>
      <c r="P38" s="8"/>
      <c r="Q38" s="8"/>
      <c r="R38" s="8"/>
      <c r="S38" s="8"/>
      <c r="T38" s="8"/>
      <c r="U38" s="8"/>
      <c r="V38" s="8"/>
      <c r="W38" s="8"/>
      <c r="X38" s="8"/>
      <c r="Y38" s="8"/>
      <c r="Z38" s="8"/>
      <c r="AA38" s="8"/>
      <c r="AB38" s="8"/>
      <c r="AC38" s="8"/>
      <c r="AD38" s="8"/>
      <c r="AE38" s="8"/>
      <c r="AF38" s="8"/>
      <c r="AG38" s="8"/>
      <c r="AH38" s="8"/>
      <c r="AI38" s="8"/>
      <c r="AJ38" s="8"/>
      <c r="AK38" s="8"/>
      <c r="AL38" s="8"/>
      <c r="AM38" s="8"/>
      <c r="AN38" s="8"/>
    </row>
    <row r="39">
      <c r="A39" s="4">
        <v>39805.0</v>
      </c>
      <c r="B39" s="5" t="s">
        <v>25</v>
      </c>
      <c r="C39" s="5">
        <v>2008.0</v>
      </c>
      <c r="D39" s="6">
        <v>39828.0</v>
      </c>
      <c r="E39" s="5" t="s">
        <v>17</v>
      </c>
      <c r="F39" s="5" t="s">
        <v>18</v>
      </c>
      <c r="G39" s="5" t="s">
        <v>28</v>
      </c>
      <c r="H39" s="5"/>
      <c r="I39" s="5" t="s">
        <v>35</v>
      </c>
      <c r="J39" s="5" t="s">
        <v>40</v>
      </c>
      <c r="K39" s="5" t="s">
        <v>41</v>
      </c>
      <c r="L39" s="5">
        <v>46.25</v>
      </c>
      <c r="M39" s="5">
        <v>46.28</v>
      </c>
      <c r="N39" s="5" t="s">
        <v>23</v>
      </c>
      <c r="O39" s="10" t="s">
        <v>72</v>
      </c>
      <c r="P39" s="8"/>
      <c r="Q39" s="8"/>
      <c r="R39" s="8"/>
      <c r="S39" s="8"/>
      <c r="T39" s="8"/>
      <c r="U39" s="8"/>
      <c r="V39" s="8"/>
      <c r="W39" s="8"/>
      <c r="X39" s="8"/>
      <c r="Y39" s="8"/>
      <c r="Z39" s="8"/>
      <c r="AA39" s="8"/>
      <c r="AB39" s="8"/>
      <c r="AC39" s="8"/>
      <c r="AD39" s="8"/>
      <c r="AE39" s="8"/>
      <c r="AF39" s="8"/>
      <c r="AG39" s="8"/>
      <c r="AH39" s="8"/>
      <c r="AI39" s="8"/>
      <c r="AJ39" s="8"/>
      <c r="AK39" s="8"/>
      <c r="AL39" s="8"/>
      <c r="AM39" s="8"/>
      <c r="AN39" s="8"/>
    </row>
    <row r="40">
      <c r="A40" s="4">
        <v>39805.0</v>
      </c>
      <c r="B40" s="5" t="s">
        <v>25</v>
      </c>
      <c r="C40" s="5">
        <v>2008.0</v>
      </c>
      <c r="D40" s="6">
        <v>39783.0</v>
      </c>
      <c r="E40" s="5" t="s">
        <v>17</v>
      </c>
      <c r="F40" s="5" t="s">
        <v>18</v>
      </c>
      <c r="G40" s="5" t="s">
        <v>19</v>
      </c>
      <c r="H40" s="5"/>
      <c r="I40" s="5" t="s">
        <v>35</v>
      </c>
      <c r="J40" s="5" t="s">
        <v>21</v>
      </c>
      <c r="K40" s="5" t="s">
        <v>73</v>
      </c>
      <c r="L40" s="5">
        <v>46.28</v>
      </c>
      <c r="M40" s="5">
        <v>47.405</v>
      </c>
      <c r="N40" s="5" t="s">
        <v>23</v>
      </c>
      <c r="O40" s="10" t="s">
        <v>72</v>
      </c>
      <c r="P40" s="8"/>
      <c r="Q40" s="8"/>
      <c r="R40" s="8"/>
      <c r="S40" s="8"/>
      <c r="T40" s="8"/>
      <c r="U40" s="8"/>
      <c r="V40" s="8"/>
      <c r="W40" s="8"/>
      <c r="X40" s="8"/>
      <c r="Y40" s="8"/>
      <c r="Z40" s="8"/>
      <c r="AA40" s="8"/>
      <c r="AB40" s="8"/>
      <c r="AC40" s="8"/>
      <c r="AD40" s="8"/>
      <c r="AE40" s="8"/>
      <c r="AF40" s="8"/>
      <c r="AG40" s="8"/>
      <c r="AH40" s="8"/>
      <c r="AI40" s="8"/>
      <c r="AJ40" s="8"/>
      <c r="AK40" s="8"/>
      <c r="AL40" s="8"/>
      <c r="AM40" s="8"/>
      <c r="AN40" s="8"/>
    </row>
    <row r="41">
      <c r="A41" s="4">
        <v>39805.0</v>
      </c>
      <c r="B41" s="5" t="s">
        <v>25</v>
      </c>
      <c r="C41" s="5">
        <v>2009.0</v>
      </c>
      <c r="D41" s="6">
        <v>39828.0</v>
      </c>
      <c r="E41" s="5" t="s">
        <v>17</v>
      </c>
      <c r="F41" s="5" t="s">
        <v>18</v>
      </c>
      <c r="G41" s="5" t="s">
        <v>28</v>
      </c>
      <c r="H41" s="5"/>
      <c r="I41" s="5" t="s">
        <v>35</v>
      </c>
      <c r="J41" s="5" t="s">
        <v>21</v>
      </c>
      <c r="K41" s="5" t="s">
        <v>73</v>
      </c>
      <c r="L41" s="5">
        <v>46.28</v>
      </c>
      <c r="M41" s="5">
        <v>47.405</v>
      </c>
      <c r="N41" s="5" t="s">
        <v>23</v>
      </c>
      <c r="O41" s="10" t="s">
        <v>72</v>
      </c>
      <c r="P41" s="8"/>
      <c r="Q41" s="8"/>
      <c r="R41" s="8"/>
      <c r="S41" s="8"/>
      <c r="T41" s="8"/>
      <c r="U41" s="8"/>
      <c r="V41" s="8"/>
      <c r="W41" s="8"/>
      <c r="X41" s="8"/>
      <c r="Y41" s="8"/>
      <c r="Z41" s="8"/>
      <c r="AA41" s="8"/>
      <c r="AB41" s="8"/>
      <c r="AC41" s="8"/>
      <c r="AD41" s="8"/>
      <c r="AE41" s="8"/>
      <c r="AF41" s="8"/>
      <c r="AG41" s="8"/>
      <c r="AH41" s="8"/>
      <c r="AI41" s="8"/>
      <c r="AJ41" s="8"/>
      <c r="AK41" s="8"/>
      <c r="AL41" s="8"/>
      <c r="AM41" s="8"/>
      <c r="AN41" s="8"/>
    </row>
    <row r="42">
      <c r="A42" s="4">
        <v>39805.0</v>
      </c>
      <c r="B42" s="5" t="s">
        <v>25</v>
      </c>
      <c r="C42" s="5">
        <v>2009.0</v>
      </c>
      <c r="D42" s="6">
        <v>39783.0</v>
      </c>
      <c r="E42" s="5" t="s">
        <v>17</v>
      </c>
      <c r="F42" s="5" t="s">
        <v>18</v>
      </c>
      <c r="G42" s="5" t="s">
        <v>19</v>
      </c>
      <c r="H42" s="5"/>
      <c r="I42" s="5" t="s">
        <v>35</v>
      </c>
      <c r="J42" s="5" t="s">
        <v>21</v>
      </c>
      <c r="K42" s="5" t="s">
        <v>60</v>
      </c>
      <c r="L42" s="5">
        <v>47.405</v>
      </c>
      <c r="M42" s="5">
        <v>48.43333</v>
      </c>
      <c r="N42" s="5" t="s">
        <v>23</v>
      </c>
      <c r="O42" s="10" t="s">
        <v>72</v>
      </c>
      <c r="P42" s="8"/>
      <c r="Q42" s="8"/>
      <c r="R42" s="8"/>
      <c r="S42" s="8"/>
      <c r="T42" s="8"/>
      <c r="U42" s="8"/>
      <c r="V42" s="8"/>
      <c r="W42" s="8"/>
      <c r="X42" s="8"/>
      <c r="Y42" s="8"/>
      <c r="Z42" s="8"/>
      <c r="AA42" s="8"/>
      <c r="AB42" s="8"/>
      <c r="AC42" s="8"/>
      <c r="AD42" s="8"/>
      <c r="AE42" s="8"/>
      <c r="AF42" s="8"/>
      <c r="AG42" s="8"/>
      <c r="AH42" s="8"/>
      <c r="AI42" s="8"/>
      <c r="AJ42" s="8"/>
      <c r="AK42" s="8"/>
      <c r="AL42" s="8"/>
      <c r="AM42" s="8"/>
      <c r="AN42" s="8"/>
    </row>
    <row r="43">
      <c r="A43" s="4">
        <v>39821.0</v>
      </c>
      <c r="B43" s="5" t="s">
        <v>25</v>
      </c>
      <c r="C43" s="5">
        <v>2009.0</v>
      </c>
      <c r="D43" s="6">
        <v>39828.0</v>
      </c>
      <c r="E43" s="5" t="s">
        <v>17</v>
      </c>
      <c r="F43" s="5" t="s">
        <v>18</v>
      </c>
      <c r="G43" s="5" t="s">
        <v>28</v>
      </c>
      <c r="H43" s="8"/>
      <c r="I43" s="5" t="s">
        <v>35</v>
      </c>
      <c r="J43" s="5" t="s">
        <v>21</v>
      </c>
      <c r="K43" s="5" t="s">
        <v>60</v>
      </c>
      <c r="L43" s="5">
        <v>47.405</v>
      </c>
      <c r="M43" s="5">
        <v>48.43333</v>
      </c>
      <c r="N43" s="5" t="s">
        <v>23</v>
      </c>
      <c r="O43" s="7" t="s">
        <v>74</v>
      </c>
      <c r="P43" s="8"/>
      <c r="Q43" s="8"/>
      <c r="R43" s="8"/>
      <c r="S43" s="8"/>
      <c r="T43" s="8"/>
      <c r="U43" s="8"/>
      <c r="V43" s="8"/>
      <c r="W43" s="8"/>
      <c r="X43" s="8"/>
      <c r="Y43" s="8"/>
      <c r="Z43" s="8"/>
      <c r="AA43" s="8"/>
      <c r="AB43" s="8"/>
      <c r="AC43" s="8"/>
      <c r="AD43" s="8"/>
      <c r="AE43" s="8"/>
      <c r="AF43" s="8"/>
      <c r="AG43" s="8"/>
      <c r="AH43" s="8"/>
      <c r="AI43" s="8"/>
      <c r="AJ43" s="8"/>
      <c r="AK43" s="8"/>
      <c r="AL43" s="8"/>
      <c r="AM43" s="8"/>
      <c r="AN43" s="8"/>
    </row>
    <row r="44">
      <c r="A44" s="4">
        <v>39805.0</v>
      </c>
      <c r="B44" s="5" t="s">
        <v>25</v>
      </c>
      <c r="C44" s="5">
        <v>2009.0</v>
      </c>
      <c r="D44" s="6">
        <v>39825.0</v>
      </c>
      <c r="E44" s="5" t="s">
        <v>17</v>
      </c>
      <c r="F44" s="5" t="s">
        <v>18</v>
      </c>
      <c r="G44" s="5" t="s">
        <v>19</v>
      </c>
      <c r="H44" s="5"/>
      <c r="I44" s="5" t="s">
        <v>62</v>
      </c>
      <c r="J44" s="5" t="s">
        <v>21</v>
      </c>
      <c r="K44" s="5" t="s">
        <v>63</v>
      </c>
      <c r="L44" s="5">
        <v>47.08</v>
      </c>
      <c r="M44" s="5">
        <v>47.28</v>
      </c>
      <c r="N44" s="5" t="s">
        <v>23</v>
      </c>
      <c r="O44" s="10" t="s">
        <v>72</v>
      </c>
      <c r="P44" s="8"/>
      <c r="Q44" s="8"/>
      <c r="R44" s="8"/>
      <c r="S44" s="8"/>
      <c r="T44" s="8"/>
      <c r="U44" s="8"/>
      <c r="V44" s="8"/>
      <c r="W44" s="8"/>
      <c r="X44" s="8"/>
      <c r="Y44" s="8"/>
      <c r="Z44" s="8"/>
      <c r="AA44" s="8"/>
      <c r="AB44" s="8"/>
      <c r="AC44" s="8"/>
      <c r="AD44" s="8"/>
      <c r="AE44" s="8"/>
      <c r="AF44" s="8"/>
      <c r="AG44" s="8"/>
      <c r="AH44" s="8"/>
      <c r="AI44" s="8"/>
      <c r="AJ44" s="8"/>
      <c r="AK44" s="8"/>
      <c r="AL44" s="8"/>
      <c r="AM44" s="8"/>
      <c r="AN44" s="8"/>
    </row>
    <row r="45">
      <c r="A45" s="4">
        <v>39805.0</v>
      </c>
      <c r="B45" s="5" t="s">
        <v>25</v>
      </c>
      <c r="C45" s="5">
        <v>2009.0</v>
      </c>
      <c r="D45" s="6">
        <v>39872.0</v>
      </c>
      <c r="E45" s="5" t="s">
        <v>17</v>
      </c>
      <c r="F45" s="5" t="s">
        <v>18</v>
      </c>
      <c r="G45" s="5" t="s">
        <v>19</v>
      </c>
      <c r="H45" s="5" t="s">
        <v>37</v>
      </c>
      <c r="I45" s="5" t="s">
        <v>62</v>
      </c>
      <c r="J45" s="5" t="s">
        <v>40</v>
      </c>
      <c r="K45" s="5" t="s">
        <v>63</v>
      </c>
      <c r="L45" s="5">
        <v>47.08</v>
      </c>
      <c r="M45" s="5">
        <v>47.28</v>
      </c>
      <c r="N45" s="5" t="s">
        <v>23</v>
      </c>
      <c r="O45" s="10" t="s">
        <v>72</v>
      </c>
      <c r="P45" s="5" t="s">
        <v>75</v>
      </c>
      <c r="Q45" s="8"/>
      <c r="R45" s="8"/>
      <c r="S45" s="8"/>
      <c r="T45" s="8"/>
      <c r="U45" s="8"/>
      <c r="V45" s="8"/>
      <c r="W45" s="8"/>
      <c r="X45" s="8"/>
      <c r="Y45" s="8"/>
      <c r="Z45" s="8"/>
      <c r="AA45" s="8"/>
      <c r="AB45" s="8"/>
      <c r="AC45" s="8"/>
      <c r="AD45" s="8"/>
      <c r="AE45" s="8"/>
      <c r="AF45" s="8"/>
      <c r="AG45" s="8"/>
      <c r="AH45" s="8"/>
      <c r="AI45" s="8"/>
      <c r="AJ45" s="8"/>
      <c r="AK45" s="8"/>
      <c r="AL45" s="8"/>
      <c r="AM45" s="8"/>
      <c r="AN45" s="8"/>
    </row>
    <row r="46">
      <c r="A46" s="4">
        <v>39805.0</v>
      </c>
      <c r="B46" s="5" t="s">
        <v>25</v>
      </c>
      <c r="C46" s="5">
        <v>2009.0</v>
      </c>
      <c r="D46" s="6">
        <v>39934.0</v>
      </c>
      <c r="E46" s="5" t="s">
        <v>17</v>
      </c>
      <c r="F46" s="5" t="s">
        <v>18</v>
      </c>
      <c r="G46" s="5" t="s">
        <v>28</v>
      </c>
      <c r="H46" s="5" t="s">
        <v>37</v>
      </c>
      <c r="I46" s="5" t="s">
        <v>62</v>
      </c>
      <c r="J46" s="5" t="s">
        <v>40</v>
      </c>
      <c r="K46" s="5" t="s">
        <v>63</v>
      </c>
      <c r="L46" s="5">
        <v>47.08</v>
      </c>
      <c r="M46" s="5">
        <v>47.28</v>
      </c>
      <c r="N46" s="5" t="s">
        <v>23</v>
      </c>
      <c r="O46" s="10" t="s">
        <v>72</v>
      </c>
      <c r="P46" s="8"/>
      <c r="Q46" s="8"/>
      <c r="R46" s="8"/>
      <c r="S46" s="8"/>
      <c r="T46" s="8"/>
      <c r="U46" s="8"/>
      <c r="V46" s="8"/>
      <c r="W46" s="8"/>
      <c r="X46" s="8"/>
      <c r="Y46" s="8"/>
      <c r="Z46" s="8"/>
      <c r="AA46" s="8"/>
      <c r="AB46" s="8"/>
      <c r="AC46" s="8"/>
      <c r="AD46" s="8"/>
      <c r="AE46" s="8"/>
      <c r="AF46" s="8"/>
      <c r="AG46" s="8"/>
      <c r="AH46" s="8"/>
      <c r="AI46" s="8"/>
      <c r="AJ46" s="8"/>
      <c r="AK46" s="8"/>
      <c r="AL46" s="8"/>
      <c r="AM46" s="8"/>
      <c r="AN46" s="8"/>
    </row>
    <row r="47">
      <c r="A47" s="4">
        <v>39805.0</v>
      </c>
      <c r="B47" s="5" t="s">
        <v>25</v>
      </c>
      <c r="C47" s="5">
        <v>2009.0</v>
      </c>
      <c r="D47" s="6">
        <v>39872.0</v>
      </c>
      <c r="E47" s="5" t="s">
        <v>17</v>
      </c>
      <c r="F47" s="5" t="s">
        <v>18</v>
      </c>
      <c r="G47" s="5" t="s">
        <v>19</v>
      </c>
      <c r="H47" s="5"/>
      <c r="I47" s="5" t="s">
        <v>62</v>
      </c>
      <c r="J47" s="5" t="s">
        <v>21</v>
      </c>
      <c r="K47" s="5" t="s">
        <v>76</v>
      </c>
      <c r="L47" s="5">
        <v>47.08</v>
      </c>
      <c r="M47" s="5">
        <v>47.1835</v>
      </c>
      <c r="N47" s="5" t="s">
        <v>23</v>
      </c>
      <c r="O47" s="10" t="s">
        <v>72</v>
      </c>
      <c r="P47" s="5" t="s">
        <v>66</v>
      </c>
      <c r="Q47" s="8"/>
      <c r="R47" s="8"/>
      <c r="S47" s="8"/>
      <c r="T47" s="8"/>
      <c r="U47" s="8"/>
      <c r="V47" s="8"/>
      <c r="W47" s="8"/>
      <c r="X47" s="8"/>
      <c r="Y47" s="8"/>
      <c r="Z47" s="8"/>
      <c r="AA47" s="8"/>
      <c r="AB47" s="8"/>
      <c r="AC47" s="8"/>
      <c r="AD47" s="8"/>
      <c r="AE47" s="8"/>
      <c r="AF47" s="8"/>
      <c r="AG47" s="8"/>
      <c r="AH47" s="8"/>
      <c r="AI47" s="8"/>
      <c r="AJ47" s="8"/>
      <c r="AK47" s="8"/>
      <c r="AL47" s="8"/>
      <c r="AM47" s="8"/>
      <c r="AN47" s="8"/>
    </row>
    <row r="48">
      <c r="A48" s="4">
        <v>39805.0</v>
      </c>
      <c r="B48" s="5" t="s">
        <v>25</v>
      </c>
      <c r="C48" s="5">
        <v>2009.0</v>
      </c>
      <c r="D48" s="6">
        <v>39872.0</v>
      </c>
      <c r="E48" s="5" t="s">
        <v>17</v>
      </c>
      <c r="F48" s="5" t="s">
        <v>18</v>
      </c>
      <c r="G48" s="5" t="s">
        <v>19</v>
      </c>
      <c r="H48" s="5"/>
      <c r="I48" s="5" t="s">
        <v>62</v>
      </c>
      <c r="J48" s="5" t="s">
        <v>21</v>
      </c>
      <c r="K48" s="5" t="s">
        <v>77</v>
      </c>
      <c r="L48" s="5">
        <v>47.1835</v>
      </c>
      <c r="M48" s="5">
        <v>47.24</v>
      </c>
      <c r="N48" s="5" t="s">
        <v>23</v>
      </c>
      <c r="O48" s="10" t="s">
        <v>72</v>
      </c>
      <c r="P48" s="5" t="s">
        <v>68</v>
      </c>
      <c r="Q48" s="8"/>
      <c r="R48" s="8"/>
      <c r="S48" s="8"/>
      <c r="T48" s="8"/>
      <c r="U48" s="8"/>
      <c r="V48" s="8"/>
      <c r="W48" s="8"/>
      <c r="X48" s="8"/>
      <c r="Y48" s="8"/>
      <c r="Z48" s="8"/>
      <c r="AA48" s="8"/>
      <c r="AB48" s="8"/>
      <c r="AC48" s="8"/>
      <c r="AD48" s="8"/>
      <c r="AE48" s="8"/>
      <c r="AF48" s="8"/>
      <c r="AG48" s="8"/>
      <c r="AH48" s="8"/>
      <c r="AI48" s="8"/>
      <c r="AJ48" s="8"/>
      <c r="AK48" s="8"/>
      <c r="AL48" s="8"/>
      <c r="AM48" s="8"/>
      <c r="AN48" s="8"/>
    </row>
    <row r="49">
      <c r="A49" s="4">
        <v>39821.0</v>
      </c>
      <c r="B49" s="5" t="s">
        <v>25</v>
      </c>
      <c r="C49" s="5">
        <v>2009.0</v>
      </c>
      <c r="D49" s="6">
        <v>39828.0</v>
      </c>
      <c r="E49" s="5" t="s">
        <v>17</v>
      </c>
      <c r="F49" s="5" t="s">
        <v>18</v>
      </c>
      <c r="G49" s="5" t="s">
        <v>19</v>
      </c>
      <c r="H49" s="5"/>
      <c r="I49" s="5" t="s">
        <v>62</v>
      </c>
      <c r="J49" s="5" t="s">
        <v>21</v>
      </c>
      <c r="K49" s="5" t="s">
        <v>69</v>
      </c>
      <c r="L49" s="5">
        <v>47.405</v>
      </c>
      <c r="M49" s="5">
        <v>47.58</v>
      </c>
      <c r="N49" s="5" t="s">
        <v>23</v>
      </c>
      <c r="O49" s="10" t="s">
        <v>74</v>
      </c>
      <c r="P49" s="8"/>
      <c r="Q49" s="8"/>
      <c r="R49" s="8"/>
      <c r="S49" s="8"/>
      <c r="T49" s="8"/>
      <c r="U49" s="8"/>
      <c r="V49" s="8"/>
      <c r="W49" s="8"/>
      <c r="X49" s="8"/>
      <c r="Y49" s="8"/>
      <c r="Z49" s="8"/>
      <c r="AA49" s="8"/>
      <c r="AB49" s="8"/>
      <c r="AC49" s="8"/>
      <c r="AD49" s="8"/>
      <c r="AE49" s="8"/>
      <c r="AF49" s="8"/>
      <c r="AG49" s="8"/>
      <c r="AH49" s="8"/>
      <c r="AI49" s="8"/>
      <c r="AJ49" s="8"/>
      <c r="AK49" s="8"/>
      <c r="AL49" s="8"/>
      <c r="AM49" s="8"/>
      <c r="AN49" s="8"/>
    </row>
    <row r="50">
      <c r="A50" s="4">
        <v>39821.0</v>
      </c>
      <c r="B50" s="5" t="s">
        <v>25</v>
      </c>
      <c r="C50" s="5">
        <v>2009.0</v>
      </c>
      <c r="D50" s="6">
        <v>39934.0</v>
      </c>
      <c r="E50" s="5" t="s">
        <v>17</v>
      </c>
      <c r="F50" s="5" t="s">
        <v>18</v>
      </c>
      <c r="G50" s="5" t="s">
        <v>19</v>
      </c>
      <c r="H50" s="5"/>
      <c r="I50" s="5" t="s">
        <v>62</v>
      </c>
      <c r="J50" s="5" t="s">
        <v>40</v>
      </c>
      <c r="K50" s="5" t="s">
        <v>69</v>
      </c>
      <c r="L50" s="5">
        <v>47.405</v>
      </c>
      <c r="M50" s="5">
        <v>47.58</v>
      </c>
      <c r="N50" s="5" t="s">
        <v>23</v>
      </c>
      <c r="O50" s="10" t="s">
        <v>74</v>
      </c>
      <c r="P50" s="8"/>
      <c r="Q50" s="8"/>
      <c r="R50" s="8"/>
      <c r="S50" s="8"/>
      <c r="T50" s="8"/>
      <c r="U50" s="8"/>
      <c r="V50" s="8"/>
      <c r="W50" s="8"/>
      <c r="X50" s="8"/>
      <c r="Y50" s="8"/>
      <c r="Z50" s="8"/>
      <c r="AA50" s="8"/>
      <c r="AB50" s="8"/>
      <c r="AC50" s="8"/>
      <c r="AD50" s="8"/>
      <c r="AE50" s="8"/>
      <c r="AF50" s="8"/>
      <c r="AG50" s="8"/>
      <c r="AH50" s="8"/>
      <c r="AI50" s="8"/>
      <c r="AJ50" s="8"/>
      <c r="AK50" s="8"/>
      <c r="AL50" s="8"/>
      <c r="AM50" s="8"/>
      <c r="AN50" s="8"/>
    </row>
    <row r="51">
      <c r="A51" s="4">
        <v>39926.0</v>
      </c>
      <c r="B51" s="5" t="s">
        <v>25</v>
      </c>
      <c r="C51" s="5">
        <v>2009.0</v>
      </c>
      <c r="D51" s="6">
        <v>39965.0</v>
      </c>
      <c r="E51" s="5" t="s">
        <v>17</v>
      </c>
      <c r="F51" s="5" t="s">
        <v>18</v>
      </c>
      <c r="G51" s="5" t="s">
        <v>28</v>
      </c>
      <c r="H51" s="5"/>
      <c r="I51" s="5" t="s">
        <v>62</v>
      </c>
      <c r="J51" s="5" t="s">
        <v>40</v>
      </c>
      <c r="K51" s="5" t="s">
        <v>69</v>
      </c>
      <c r="L51" s="5">
        <v>47.405</v>
      </c>
      <c r="M51" s="5">
        <v>47.58</v>
      </c>
      <c r="N51" s="5" t="s">
        <v>23</v>
      </c>
      <c r="O51" s="7" t="s">
        <v>78</v>
      </c>
      <c r="P51" s="8"/>
      <c r="Q51" s="8"/>
      <c r="R51" s="8"/>
      <c r="S51" s="8"/>
      <c r="T51" s="8"/>
      <c r="U51" s="8"/>
      <c r="V51" s="8"/>
      <c r="W51" s="8"/>
      <c r="X51" s="8"/>
      <c r="Y51" s="8"/>
      <c r="Z51" s="8"/>
      <c r="AA51" s="8"/>
      <c r="AB51" s="8"/>
      <c r="AC51" s="8"/>
      <c r="AD51" s="8"/>
      <c r="AE51" s="8"/>
      <c r="AF51" s="8"/>
      <c r="AG51" s="8"/>
      <c r="AH51" s="8"/>
      <c r="AI51" s="8"/>
      <c r="AJ51" s="8"/>
      <c r="AK51" s="8"/>
      <c r="AL51" s="8"/>
      <c r="AM51" s="8"/>
      <c r="AN51" s="8"/>
    </row>
    <row r="52">
      <c r="A52" s="4">
        <v>39821.0</v>
      </c>
      <c r="B52" s="5" t="s">
        <v>25</v>
      </c>
      <c r="C52" s="5">
        <v>2009.0</v>
      </c>
      <c r="D52" s="6">
        <v>39828.0</v>
      </c>
      <c r="E52" s="5" t="s">
        <v>17</v>
      </c>
      <c r="F52" s="5" t="s">
        <v>18</v>
      </c>
      <c r="G52" s="5" t="s">
        <v>19</v>
      </c>
      <c r="H52" s="8"/>
      <c r="I52" s="5" t="s">
        <v>62</v>
      </c>
      <c r="J52" s="5" t="s">
        <v>21</v>
      </c>
      <c r="K52" s="5" t="s">
        <v>70</v>
      </c>
      <c r="L52" s="5">
        <v>48.02</v>
      </c>
      <c r="M52" s="5">
        <v>48.195</v>
      </c>
      <c r="N52" s="5" t="s">
        <v>23</v>
      </c>
      <c r="O52" s="10" t="s">
        <v>74</v>
      </c>
      <c r="P52" s="8"/>
      <c r="Q52" s="8"/>
      <c r="R52" s="8"/>
      <c r="S52" s="8"/>
      <c r="T52" s="8"/>
      <c r="U52" s="8"/>
      <c r="V52" s="8"/>
      <c r="W52" s="8"/>
      <c r="X52" s="8"/>
      <c r="Y52" s="8"/>
      <c r="Z52" s="8"/>
      <c r="AA52" s="8"/>
      <c r="AB52" s="8"/>
      <c r="AC52" s="8"/>
      <c r="AD52" s="8"/>
      <c r="AE52" s="8"/>
      <c r="AF52" s="8"/>
      <c r="AG52" s="8"/>
      <c r="AH52" s="8"/>
      <c r="AI52" s="8"/>
      <c r="AJ52" s="8"/>
      <c r="AK52" s="8"/>
      <c r="AL52" s="8"/>
      <c r="AM52" s="8"/>
      <c r="AN52" s="8"/>
    </row>
    <row r="53">
      <c r="A53" s="4">
        <v>39821.0</v>
      </c>
      <c r="B53" s="5" t="s">
        <v>25</v>
      </c>
      <c r="C53" s="5">
        <v>2009.0</v>
      </c>
      <c r="D53" s="6">
        <v>39858.0</v>
      </c>
      <c r="E53" s="5" t="s">
        <v>17</v>
      </c>
      <c r="F53" s="5" t="s">
        <v>18</v>
      </c>
      <c r="G53" s="5" t="s">
        <v>19</v>
      </c>
      <c r="H53" s="5"/>
      <c r="I53" s="5" t="s">
        <v>62</v>
      </c>
      <c r="J53" s="5" t="s">
        <v>40</v>
      </c>
      <c r="K53" s="5" t="s">
        <v>70</v>
      </c>
      <c r="L53" s="5">
        <v>48.02</v>
      </c>
      <c r="M53" s="5">
        <v>48.195</v>
      </c>
      <c r="N53" s="5" t="s">
        <v>23</v>
      </c>
      <c r="O53" s="10" t="s">
        <v>74</v>
      </c>
      <c r="P53" s="8"/>
      <c r="Q53" s="8"/>
      <c r="R53" s="8"/>
      <c r="S53" s="8"/>
      <c r="T53" s="8"/>
      <c r="U53" s="8"/>
      <c r="V53" s="8"/>
      <c r="W53" s="8"/>
      <c r="X53" s="8"/>
      <c r="Y53" s="8"/>
      <c r="Z53" s="8"/>
      <c r="AA53" s="8"/>
      <c r="AB53" s="8"/>
      <c r="AC53" s="8"/>
      <c r="AD53" s="8"/>
      <c r="AE53" s="8"/>
      <c r="AF53" s="8"/>
      <c r="AG53" s="8"/>
      <c r="AH53" s="8"/>
      <c r="AI53" s="8"/>
      <c r="AJ53" s="8"/>
      <c r="AK53" s="8"/>
      <c r="AL53" s="8"/>
      <c r="AM53" s="8"/>
      <c r="AN53" s="8"/>
    </row>
    <row r="54">
      <c r="A54" s="4">
        <v>39857.0</v>
      </c>
      <c r="B54" s="5" t="s">
        <v>25</v>
      </c>
      <c r="C54" s="5">
        <v>2009.0</v>
      </c>
      <c r="D54" s="6">
        <v>39888.0</v>
      </c>
      <c r="E54" s="5" t="s">
        <v>17</v>
      </c>
      <c r="F54" s="5" t="s">
        <v>18</v>
      </c>
      <c r="G54" s="5" t="s">
        <v>28</v>
      </c>
      <c r="H54" s="5"/>
      <c r="I54" s="5" t="s">
        <v>62</v>
      </c>
      <c r="J54" s="5" t="s">
        <v>40</v>
      </c>
      <c r="K54" s="5" t="s">
        <v>70</v>
      </c>
      <c r="L54" s="5">
        <v>48.02</v>
      </c>
      <c r="M54" s="5">
        <v>48.195</v>
      </c>
      <c r="N54" s="5" t="s">
        <v>23</v>
      </c>
      <c r="O54" s="10" t="s">
        <v>79</v>
      </c>
      <c r="P54" s="8"/>
      <c r="Q54" s="8"/>
      <c r="R54" s="8"/>
      <c r="S54" s="8"/>
      <c r="T54" s="8"/>
      <c r="U54" s="8"/>
      <c r="V54" s="8"/>
      <c r="W54" s="8"/>
      <c r="X54" s="8"/>
      <c r="Y54" s="8"/>
      <c r="Z54" s="8"/>
      <c r="AA54" s="8"/>
      <c r="AB54" s="8"/>
      <c r="AC54" s="8"/>
      <c r="AD54" s="8"/>
      <c r="AE54" s="8"/>
      <c r="AF54" s="8"/>
      <c r="AG54" s="8"/>
      <c r="AH54" s="8"/>
      <c r="AI54" s="8"/>
      <c r="AJ54" s="8"/>
      <c r="AK54" s="8"/>
      <c r="AL54" s="8"/>
      <c r="AM54" s="8"/>
      <c r="AN54" s="8"/>
    </row>
    <row r="55">
      <c r="A55" s="4">
        <v>39967.0</v>
      </c>
      <c r="B55" s="5" t="s">
        <v>25</v>
      </c>
      <c r="C55" s="5">
        <v>2009.0</v>
      </c>
      <c r="D55" s="6">
        <v>39970.0</v>
      </c>
      <c r="E55" s="5" t="s">
        <v>17</v>
      </c>
      <c r="F55" s="5" t="s">
        <v>18</v>
      </c>
      <c r="G55" s="5" t="s">
        <v>28</v>
      </c>
      <c r="H55" s="5"/>
      <c r="I55" s="5" t="s">
        <v>62</v>
      </c>
      <c r="J55" s="5" t="s">
        <v>21</v>
      </c>
      <c r="K55" s="5" t="s">
        <v>80</v>
      </c>
      <c r="L55" s="5">
        <v>47.245</v>
      </c>
      <c r="M55" s="5">
        <v>47.28</v>
      </c>
      <c r="N55" s="5" t="s">
        <v>23</v>
      </c>
      <c r="O55" s="7" t="s">
        <v>81</v>
      </c>
      <c r="P55" s="5" t="s">
        <v>82</v>
      </c>
      <c r="Q55" s="8"/>
      <c r="R55" s="8"/>
      <c r="S55" s="8"/>
      <c r="T55" s="8"/>
      <c r="U55" s="8"/>
      <c r="V55" s="8"/>
      <c r="W55" s="8"/>
      <c r="X55" s="8"/>
      <c r="Y55" s="8"/>
      <c r="Z55" s="8"/>
      <c r="AA55" s="8"/>
      <c r="AB55" s="8"/>
      <c r="AC55" s="8"/>
      <c r="AD55" s="8"/>
      <c r="AE55" s="8"/>
      <c r="AF55" s="8"/>
      <c r="AG55" s="8"/>
      <c r="AH55" s="8"/>
      <c r="AI55" s="8"/>
      <c r="AJ55" s="8"/>
      <c r="AK55" s="8"/>
      <c r="AL55" s="8"/>
      <c r="AM55" s="8"/>
      <c r="AN55" s="8"/>
    </row>
    <row r="56">
      <c r="A56" s="4">
        <v>40165.0</v>
      </c>
      <c r="B56" s="5" t="s">
        <v>25</v>
      </c>
      <c r="C56" s="5">
        <v>2009.0</v>
      </c>
      <c r="D56" s="6">
        <v>40148.0</v>
      </c>
      <c r="E56" s="5" t="s">
        <v>17</v>
      </c>
      <c r="F56" s="5" t="s">
        <v>18</v>
      </c>
      <c r="G56" s="5" t="s">
        <v>19</v>
      </c>
      <c r="H56" s="5"/>
      <c r="I56" s="5" t="s">
        <v>35</v>
      </c>
      <c r="J56" s="5" t="s">
        <v>40</v>
      </c>
      <c r="K56" s="5" t="s">
        <v>41</v>
      </c>
      <c r="L56" s="5">
        <v>46.25</v>
      </c>
      <c r="M56" s="5">
        <v>46.28</v>
      </c>
      <c r="N56" s="5" t="s">
        <v>23</v>
      </c>
      <c r="O56" s="10" t="s">
        <v>83</v>
      </c>
      <c r="P56" s="8"/>
      <c r="Q56" s="8"/>
      <c r="R56" s="8"/>
      <c r="S56" s="8"/>
      <c r="T56" s="8"/>
      <c r="U56" s="8"/>
      <c r="V56" s="8"/>
      <c r="W56" s="8"/>
      <c r="X56" s="8"/>
      <c r="Y56" s="8"/>
      <c r="Z56" s="8"/>
      <c r="AA56" s="8"/>
      <c r="AB56" s="8"/>
      <c r="AC56" s="8"/>
      <c r="AD56" s="8"/>
      <c r="AE56" s="8"/>
      <c r="AF56" s="8"/>
      <c r="AG56" s="8"/>
      <c r="AH56" s="8"/>
      <c r="AI56" s="8"/>
      <c r="AJ56" s="8"/>
      <c r="AK56" s="8"/>
      <c r="AL56" s="8"/>
      <c r="AM56" s="8"/>
      <c r="AN56" s="8"/>
    </row>
    <row r="57">
      <c r="A57" s="4">
        <v>40165.0</v>
      </c>
      <c r="B57" s="5" t="s">
        <v>25</v>
      </c>
      <c r="C57" s="5">
        <v>2009.0</v>
      </c>
      <c r="D57" s="6">
        <v>40180.0</v>
      </c>
      <c r="E57" s="5" t="s">
        <v>17</v>
      </c>
      <c r="F57" s="5" t="s">
        <v>18</v>
      </c>
      <c r="G57" s="5" t="s">
        <v>28</v>
      </c>
      <c r="H57" s="5"/>
      <c r="I57" s="5" t="s">
        <v>35</v>
      </c>
      <c r="J57" s="5" t="s">
        <v>40</v>
      </c>
      <c r="K57" s="5" t="s">
        <v>41</v>
      </c>
      <c r="L57" s="5">
        <v>46.25</v>
      </c>
      <c r="M57" s="5">
        <v>46.28</v>
      </c>
      <c r="N57" s="5" t="s">
        <v>23</v>
      </c>
      <c r="O57" s="10" t="s">
        <v>83</v>
      </c>
      <c r="P57" s="8"/>
      <c r="Q57" s="8"/>
      <c r="R57" s="8"/>
      <c r="S57" s="8"/>
      <c r="T57" s="8"/>
      <c r="U57" s="8"/>
      <c r="V57" s="8"/>
      <c r="W57" s="8"/>
      <c r="X57" s="8"/>
      <c r="Y57" s="8"/>
      <c r="Z57" s="8"/>
      <c r="AA57" s="8"/>
      <c r="AB57" s="8"/>
      <c r="AC57" s="8"/>
      <c r="AD57" s="8"/>
      <c r="AE57" s="8"/>
      <c r="AF57" s="8"/>
      <c r="AG57" s="8"/>
      <c r="AH57" s="8"/>
      <c r="AI57" s="8"/>
      <c r="AJ57" s="8"/>
      <c r="AK57" s="8"/>
      <c r="AL57" s="8"/>
      <c r="AM57" s="8"/>
      <c r="AN57" s="8"/>
    </row>
    <row r="58">
      <c r="A58" s="4">
        <v>40165.0</v>
      </c>
      <c r="B58" s="5" t="s">
        <v>25</v>
      </c>
      <c r="C58" s="5">
        <v>2009.0</v>
      </c>
      <c r="D58" s="6">
        <v>40148.0</v>
      </c>
      <c r="E58" s="5" t="s">
        <v>17</v>
      </c>
      <c r="F58" s="5" t="s">
        <v>18</v>
      </c>
      <c r="G58" s="5" t="s">
        <v>19</v>
      </c>
      <c r="H58" s="5"/>
      <c r="I58" s="5" t="s">
        <v>35</v>
      </c>
      <c r="J58" s="5" t="s">
        <v>21</v>
      </c>
      <c r="K58" s="5" t="s">
        <v>73</v>
      </c>
      <c r="L58" s="5">
        <v>46.28</v>
      </c>
      <c r="M58" s="5">
        <v>47.405</v>
      </c>
      <c r="N58" s="5" t="s">
        <v>23</v>
      </c>
      <c r="O58" s="10" t="s">
        <v>83</v>
      </c>
      <c r="P58" s="8"/>
      <c r="Q58" s="8"/>
      <c r="R58" s="8"/>
      <c r="S58" s="8"/>
      <c r="T58" s="8"/>
      <c r="U58" s="8"/>
      <c r="V58" s="8"/>
      <c r="W58" s="8"/>
      <c r="X58" s="8"/>
      <c r="Y58" s="8"/>
      <c r="Z58" s="8"/>
      <c r="AA58" s="8"/>
      <c r="AB58" s="8"/>
      <c r="AC58" s="8"/>
      <c r="AD58" s="8"/>
      <c r="AE58" s="8"/>
      <c r="AF58" s="8"/>
      <c r="AG58" s="8"/>
      <c r="AH58" s="8"/>
      <c r="AI58" s="8"/>
      <c r="AJ58" s="8"/>
      <c r="AK58" s="8"/>
      <c r="AL58" s="8"/>
      <c r="AM58" s="8"/>
      <c r="AN58" s="8"/>
    </row>
    <row r="59">
      <c r="A59" s="4">
        <v>40165.0</v>
      </c>
      <c r="B59" s="5" t="s">
        <v>25</v>
      </c>
      <c r="C59" s="5">
        <v>2010.0</v>
      </c>
      <c r="D59" s="6">
        <v>40180.0</v>
      </c>
      <c r="E59" s="5" t="s">
        <v>17</v>
      </c>
      <c r="F59" s="5" t="s">
        <v>18</v>
      </c>
      <c r="G59" s="5" t="s">
        <v>28</v>
      </c>
      <c r="H59" s="8"/>
      <c r="I59" s="5" t="s">
        <v>35</v>
      </c>
      <c r="J59" s="5" t="s">
        <v>21</v>
      </c>
      <c r="K59" s="5" t="s">
        <v>73</v>
      </c>
      <c r="L59" s="5">
        <v>46.28</v>
      </c>
      <c r="M59" s="5">
        <v>47.405</v>
      </c>
      <c r="N59" s="5" t="s">
        <v>23</v>
      </c>
      <c r="O59" s="10" t="s">
        <v>83</v>
      </c>
      <c r="P59" s="8"/>
      <c r="Q59" s="8"/>
      <c r="R59" s="8"/>
      <c r="S59" s="8"/>
      <c r="T59" s="8"/>
      <c r="U59" s="8"/>
      <c r="V59" s="8"/>
      <c r="W59" s="8"/>
      <c r="X59" s="8"/>
      <c r="Y59" s="8"/>
      <c r="Z59" s="8"/>
      <c r="AA59" s="8"/>
      <c r="AB59" s="8"/>
      <c r="AC59" s="8"/>
      <c r="AD59" s="8"/>
      <c r="AE59" s="8"/>
      <c r="AF59" s="8"/>
      <c r="AG59" s="8"/>
      <c r="AH59" s="8"/>
      <c r="AI59" s="8"/>
      <c r="AJ59" s="8"/>
      <c r="AK59" s="8"/>
      <c r="AL59" s="8"/>
      <c r="AM59" s="8"/>
      <c r="AN59" s="8"/>
    </row>
    <row r="60">
      <c r="A60" s="4">
        <v>40165.0</v>
      </c>
      <c r="B60" s="5" t="s">
        <v>25</v>
      </c>
      <c r="C60" s="5">
        <v>2009.0</v>
      </c>
      <c r="D60" s="6">
        <v>40148.0</v>
      </c>
      <c r="E60" s="5" t="s">
        <v>17</v>
      </c>
      <c r="F60" s="5" t="s">
        <v>18</v>
      </c>
      <c r="G60" s="5" t="s">
        <v>19</v>
      </c>
      <c r="H60" s="5"/>
      <c r="I60" s="5" t="s">
        <v>35</v>
      </c>
      <c r="J60" s="5" t="s">
        <v>21</v>
      </c>
      <c r="K60" s="5" t="s">
        <v>60</v>
      </c>
      <c r="L60" s="5">
        <v>47.405</v>
      </c>
      <c r="M60" s="5">
        <v>48.43333</v>
      </c>
      <c r="N60" s="5" t="s">
        <v>23</v>
      </c>
      <c r="O60" s="10" t="s">
        <v>83</v>
      </c>
      <c r="P60" s="8"/>
      <c r="Q60" s="8"/>
      <c r="R60" s="8"/>
      <c r="S60" s="8"/>
      <c r="T60" s="8"/>
      <c r="U60" s="8"/>
      <c r="V60" s="8"/>
      <c r="W60" s="8"/>
      <c r="X60" s="8"/>
      <c r="Y60" s="8"/>
      <c r="Z60" s="8"/>
      <c r="AA60" s="8"/>
      <c r="AB60" s="8"/>
      <c r="AC60" s="8"/>
      <c r="AD60" s="8"/>
      <c r="AE60" s="8"/>
      <c r="AF60" s="8"/>
      <c r="AG60" s="8"/>
      <c r="AH60" s="8"/>
      <c r="AI60" s="8"/>
      <c r="AJ60" s="8"/>
      <c r="AK60" s="8"/>
      <c r="AL60" s="8"/>
      <c r="AM60" s="8"/>
      <c r="AN60" s="8"/>
    </row>
    <row r="61">
      <c r="A61" s="4">
        <v>40186.0</v>
      </c>
      <c r="B61" s="5" t="s">
        <v>25</v>
      </c>
      <c r="C61" s="5">
        <v>2010.0</v>
      </c>
      <c r="D61" s="6">
        <v>40193.0</v>
      </c>
      <c r="E61" s="5" t="s">
        <v>17</v>
      </c>
      <c r="F61" s="5" t="s">
        <v>18</v>
      </c>
      <c r="G61" s="5" t="s">
        <v>28</v>
      </c>
      <c r="H61" s="5"/>
      <c r="I61" s="5" t="s">
        <v>35</v>
      </c>
      <c r="J61" s="5" t="s">
        <v>21</v>
      </c>
      <c r="K61" s="5" t="s">
        <v>60</v>
      </c>
      <c r="L61" s="5">
        <v>47.405</v>
      </c>
      <c r="M61" s="5">
        <v>48.43333</v>
      </c>
      <c r="N61" s="5" t="s">
        <v>23</v>
      </c>
      <c r="O61" s="7" t="s">
        <v>84</v>
      </c>
      <c r="P61" s="8"/>
      <c r="Q61" s="8"/>
      <c r="R61" s="8"/>
      <c r="S61" s="8"/>
      <c r="T61" s="8"/>
      <c r="U61" s="8"/>
      <c r="V61" s="8"/>
      <c r="W61" s="8"/>
      <c r="X61" s="8"/>
      <c r="Y61" s="8"/>
      <c r="Z61" s="8"/>
      <c r="AA61" s="8"/>
      <c r="AB61" s="8"/>
      <c r="AC61" s="8"/>
      <c r="AD61" s="8"/>
      <c r="AE61" s="8"/>
      <c r="AF61" s="8"/>
      <c r="AG61" s="8"/>
      <c r="AH61" s="8"/>
      <c r="AI61" s="8"/>
      <c r="AJ61" s="8"/>
      <c r="AK61" s="8"/>
      <c r="AL61" s="8"/>
      <c r="AM61" s="8"/>
      <c r="AN61" s="8"/>
    </row>
    <row r="62">
      <c r="A62" s="4">
        <v>40165.0</v>
      </c>
      <c r="B62" s="5" t="s">
        <v>25</v>
      </c>
      <c r="C62" s="5">
        <v>2010.0</v>
      </c>
      <c r="D62" s="6">
        <v>40180.0</v>
      </c>
      <c r="E62" s="5" t="s">
        <v>17</v>
      </c>
      <c r="F62" s="5" t="s">
        <v>18</v>
      </c>
      <c r="G62" s="5" t="s">
        <v>19</v>
      </c>
      <c r="H62" s="5"/>
      <c r="I62" s="5" t="s">
        <v>62</v>
      </c>
      <c r="J62" s="5" t="s">
        <v>21</v>
      </c>
      <c r="K62" s="5" t="s">
        <v>63</v>
      </c>
      <c r="L62" s="5">
        <v>47.08</v>
      </c>
      <c r="M62" s="5">
        <v>47.28</v>
      </c>
      <c r="N62" s="5" t="s">
        <v>23</v>
      </c>
      <c r="O62" s="10" t="s">
        <v>83</v>
      </c>
      <c r="P62" s="8"/>
      <c r="Q62" s="8"/>
      <c r="R62" s="8"/>
      <c r="S62" s="8"/>
      <c r="T62" s="8"/>
      <c r="U62" s="8"/>
      <c r="V62" s="8"/>
      <c r="W62" s="8"/>
      <c r="X62" s="8"/>
      <c r="Y62" s="8"/>
      <c r="Z62" s="8"/>
      <c r="AA62" s="8"/>
      <c r="AB62" s="8"/>
      <c r="AC62" s="8"/>
      <c r="AD62" s="8"/>
      <c r="AE62" s="8"/>
      <c r="AF62" s="8"/>
      <c r="AG62" s="8"/>
      <c r="AH62" s="8"/>
      <c r="AI62" s="8"/>
      <c r="AJ62" s="8"/>
      <c r="AK62" s="8"/>
      <c r="AL62" s="8"/>
      <c r="AM62" s="8"/>
      <c r="AN62" s="8"/>
    </row>
    <row r="63">
      <c r="A63" s="4">
        <v>40165.0</v>
      </c>
      <c r="B63" s="5" t="s">
        <v>25</v>
      </c>
      <c r="C63" s="5">
        <v>2010.0</v>
      </c>
      <c r="D63" s="6">
        <v>40238.0</v>
      </c>
      <c r="E63" s="5" t="s">
        <v>17</v>
      </c>
      <c r="F63" s="5" t="s">
        <v>18</v>
      </c>
      <c r="G63" s="5" t="s">
        <v>28</v>
      </c>
      <c r="H63" s="5"/>
      <c r="I63" s="5" t="s">
        <v>62</v>
      </c>
      <c r="J63" s="5" t="s">
        <v>21</v>
      </c>
      <c r="K63" s="5" t="s">
        <v>85</v>
      </c>
      <c r="L63" s="5">
        <v>47.245</v>
      </c>
      <c r="M63" s="5">
        <v>47.28</v>
      </c>
      <c r="N63" s="5" t="s">
        <v>23</v>
      </c>
      <c r="O63" s="10" t="s">
        <v>83</v>
      </c>
      <c r="P63" s="5" t="s">
        <v>86</v>
      </c>
      <c r="Q63" s="8"/>
      <c r="R63" s="8"/>
      <c r="S63" s="8"/>
      <c r="T63" s="8"/>
      <c r="U63" s="8"/>
      <c r="V63" s="8"/>
      <c r="W63" s="8"/>
      <c r="X63" s="8"/>
      <c r="Y63" s="8"/>
      <c r="Z63" s="8"/>
      <c r="AA63" s="8"/>
      <c r="AB63" s="8"/>
      <c r="AC63" s="8"/>
      <c r="AD63" s="8"/>
      <c r="AE63" s="8"/>
      <c r="AF63" s="8"/>
      <c r="AG63" s="8"/>
      <c r="AH63" s="8"/>
      <c r="AI63" s="8"/>
      <c r="AJ63" s="8"/>
      <c r="AK63" s="8"/>
      <c r="AL63" s="8"/>
      <c r="AM63" s="8"/>
      <c r="AN63" s="8"/>
    </row>
    <row r="64">
      <c r="A64" s="4">
        <v>40165.0</v>
      </c>
      <c r="B64" s="5" t="s">
        <v>25</v>
      </c>
      <c r="C64" s="5">
        <v>2010.0</v>
      </c>
      <c r="D64" s="6">
        <v>40238.0</v>
      </c>
      <c r="E64" s="5" t="s">
        <v>17</v>
      </c>
      <c r="F64" s="5" t="s">
        <v>18</v>
      </c>
      <c r="G64" s="5" t="s">
        <v>19</v>
      </c>
      <c r="H64" s="5"/>
      <c r="I64" s="5" t="s">
        <v>62</v>
      </c>
      <c r="J64" s="5" t="s">
        <v>21</v>
      </c>
      <c r="K64" s="5" t="s">
        <v>87</v>
      </c>
      <c r="L64" s="5">
        <v>47.08</v>
      </c>
      <c r="M64" s="5">
        <v>47.245</v>
      </c>
      <c r="N64" s="5" t="s">
        <v>23</v>
      </c>
      <c r="O64" s="10" t="s">
        <v>83</v>
      </c>
      <c r="P64" s="5"/>
      <c r="Q64" s="8"/>
      <c r="R64" s="8"/>
      <c r="S64" s="8"/>
      <c r="T64" s="8"/>
      <c r="U64" s="8"/>
      <c r="V64" s="8"/>
      <c r="W64" s="8"/>
      <c r="X64" s="8"/>
      <c r="Y64" s="8"/>
      <c r="Z64" s="8"/>
      <c r="AA64" s="8"/>
      <c r="AB64" s="8"/>
      <c r="AC64" s="8"/>
      <c r="AD64" s="8"/>
      <c r="AE64" s="8"/>
      <c r="AF64" s="8"/>
      <c r="AG64" s="8"/>
      <c r="AH64" s="8"/>
      <c r="AI64" s="8"/>
      <c r="AJ64" s="8"/>
      <c r="AK64" s="8"/>
      <c r="AL64" s="8"/>
      <c r="AM64" s="8"/>
      <c r="AN64" s="8"/>
    </row>
    <row r="65">
      <c r="A65" s="4">
        <v>40165.0</v>
      </c>
      <c r="B65" s="5" t="s">
        <v>25</v>
      </c>
      <c r="C65" s="5">
        <v>2010.0</v>
      </c>
      <c r="D65" s="6">
        <v>40193.0</v>
      </c>
      <c r="E65" s="5" t="s">
        <v>17</v>
      </c>
      <c r="F65" s="5" t="s">
        <v>18</v>
      </c>
      <c r="G65" s="5" t="s">
        <v>19</v>
      </c>
      <c r="H65" s="5"/>
      <c r="I65" s="5" t="s">
        <v>62</v>
      </c>
      <c r="J65" s="5" t="s">
        <v>21</v>
      </c>
      <c r="K65" s="5" t="s">
        <v>69</v>
      </c>
      <c r="L65" s="5">
        <v>47.405</v>
      </c>
      <c r="M65" s="5">
        <v>47.58</v>
      </c>
      <c r="N65" s="5" t="s">
        <v>23</v>
      </c>
      <c r="O65" s="10" t="s">
        <v>83</v>
      </c>
      <c r="P65" s="8"/>
      <c r="Q65" s="8"/>
      <c r="R65" s="8"/>
      <c r="S65" s="8"/>
      <c r="T65" s="8"/>
      <c r="U65" s="8"/>
      <c r="V65" s="8"/>
      <c r="W65" s="8"/>
      <c r="X65" s="8"/>
      <c r="Y65" s="8"/>
      <c r="Z65" s="8"/>
      <c r="AA65" s="8"/>
      <c r="AB65" s="8"/>
      <c r="AC65" s="8"/>
      <c r="AD65" s="8"/>
      <c r="AE65" s="8"/>
      <c r="AF65" s="8"/>
      <c r="AG65" s="8"/>
      <c r="AH65" s="8"/>
      <c r="AI65" s="8"/>
      <c r="AJ65" s="8"/>
      <c r="AK65" s="8"/>
      <c r="AL65" s="8"/>
      <c r="AM65" s="8"/>
      <c r="AN65" s="8"/>
    </row>
    <row r="66">
      <c r="A66" s="4">
        <v>40165.0</v>
      </c>
      <c r="B66" s="5" t="s">
        <v>25</v>
      </c>
      <c r="C66" s="5">
        <v>2010.0</v>
      </c>
      <c r="D66" s="6">
        <v>40299.0</v>
      </c>
      <c r="E66" s="5" t="s">
        <v>17</v>
      </c>
      <c r="F66" s="5" t="s">
        <v>18</v>
      </c>
      <c r="G66" s="5" t="s">
        <v>19</v>
      </c>
      <c r="H66" s="5"/>
      <c r="I66" s="5" t="s">
        <v>62</v>
      </c>
      <c r="J66" s="5" t="s">
        <v>40</v>
      </c>
      <c r="K66" s="5" t="s">
        <v>69</v>
      </c>
      <c r="L66" s="5">
        <v>47.405</v>
      </c>
      <c r="M66" s="5">
        <v>47.58</v>
      </c>
      <c r="N66" s="5" t="s">
        <v>23</v>
      </c>
      <c r="O66" s="10" t="s">
        <v>83</v>
      </c>
      <c r="P66" s="8"/>
      <c r="Q66" s="8"/>
      <c r="R66" s="8"/>
      <c r="S66" s="8"/>
      <c r="T66" s="8"/>
      <c r="U66" s="8"/>
      <c r="V66" s="8"/>
      <c r="W66" s="8"/>
      <c r="X66" s="8"/>
      <c r="Y66" s="8"/>
      <c r="Z66" s="8"/>
      <c r="AA66" s="8"/>
      <c r="AB66" s="8"/>
      <c r="AC66" s="8"/>
      <c r="AD66" s="8"/>
      <c r="AE66" s="8"/>
      <c r="AF66" s="8"/>
      <c r="AG66" s="8"/>
      <c r="AH66" s="8"/>
      <c r="AI66" s="8"/>
      <c r="AJ66" s="8"/>
      <c r="AK66" s="8"/>
      <c r="AL66" s="8"/>
      <c r="AM66" s="8"/>
      <c r="AN66" s="8"/>
    </row>
    <row r="67">
      <c r="A67" s="4">
        <v>40165.0</v>
      </c>
      <c r="B67" s="5" t="s">
        <v>25</v>
      </c>
      <c r="C67" s="5">
        <v>2010.0</v>
      </c>
      <c r="D67" s="6">
        <v>40330.0</v>
      </c>
      <c r="E67" s="5" t="s">
        <v>17</v>
      </c>
      <c r="F67" s="5" t="s">
        <v>18</v>
      </c>
      <c r="G67" s="5" t="s">
        <v>28</v>
      </c>
      <c r="H67" s="5"/>
      <c r="I67" s="5" t="s">
        <v>62</v>
      </c>
      <c r="J67" s="5" t="s">
        <v>40</v>
      </c>
      <c r="K67" s="5" t="s">
        <v>69</v>
      </c>
      <c r="L67" s="5">
        <v>47.405</v>
      </c>
      <c r="M67" s="5">
        <v>47.58</v>
      </c>
      <c r="N67" s="5" t="s">
        <v>23</v>
      </c>
      <c r="O67" s="7" t="s">
        <v>83</v>
      </c>
      <c r="P67" s="8"/>
      <c r="Q67" s="8"/>
      <c r="R67" s="8"/>
      <c r="S67" s="8"/>
      <c r="T67" s="8"/>
      <c r="U67" s="8"/>
      <c r="V67" s="8"/>
      <c r="W67" s="8"/>
      <c r="X67" s="8"/>
      <c r="Y67" s="8"/>
      <c r="Z67" s="8"/>
      <c r="AA67" s="8"/>
      <c r="AB67" s="8"/>
      <c r="AC67" s="8"/>
      <c r="AD67" s="8"/>
      <c r="AE67" s="8"/>
      <c r="AF67" s="8"/>
      <c r="AG67" s="8"/>
      <c r="AH67" s="8"/>
      <c r="AI67" s="8"/>
      <c r="AJ67" s="8"/>
      <c r="AK67" s="8"/>
      <c r="AL67" s="8"/>
      <c r="AM67" s="8"/>
      <c r="AN67" s="8"/>
    </row>
    <row r="68">
      <c r="A68" s="4">
        <v>40165.0</v>
      </c>
      <c r="B68" s="5" t="s">
        <v>25</v>
      </c>
      <c r="C68" s="5">
        <v>2009.0</v>
      </c>
      <c r="D68" s="6">
        <v>40193.0</v>
      </c>
      <c r="E68" s="5" t="s">
        <v>17</v>
      </c>
      <c r="F68" s="5" t="s">
        <v>18</v>
      </c>
      <c r="G68" s="5" t="s">
        <v>19</v>
      </c>
      <c r="H68" s="5"/>
      <c r="I68" s="5" t="s">
        <v>62</v>
      </c>
      <c r="J68" s="5" t="s">
        <v>21</v>
      </c>
      <c r="K68" s="5" t="s">
        <v>70</v>
      </c>
      <c r="L68" s="5">
        <v>48.02</v>
      </c>
      <c r="M68" s="5">
        <v>48.195</v>
      </c>
      <c r="N68" s="5" t="s">
        <v>23</v>
      </c>
      <c r="O68" s="10" t="s">
        <v>83</v>
      </c>
      <c r="P68" s="8"/>
      <c r="Q68" s="8"/>
      <c r="R68" s="8"/>
      <c r="S68" s="8"/>
      <c r="T68" s="8"/>
      <c r="U68" s="8"/>
      <c r="V68" s="8"/>
      <c r="W68" s="8"/>
      <c r="X68" s="8"/>
      <c r="Y68" s="8"/>
      <c r="Z68" s="8"/>
      <c r="AA68" s="8"/>
      <c r="AB68" s="8"/>
      <c r="AC68" s="8"/>
      <c r="AD68" s="8"/>
      <c r="AE68" s="8"/>
      <c r="AF68" s="8"/>
      <c r="AG68" s="8"/>
      <c r="AH68" s="8"/>
      <c r="AI68" s="8"/>
      <c r="AJ68" s="8"/>
      <c r="AK68" s="8"/>
      <c r="AL68" s="8"/>
      <c r="AM68" s="8"/>
      <c r="AN68" s="8"/>
    </row>
    <row r="69">
      <c r="A69" s="4">
        <v>40186.0</v>
      </c>
      <c r="B69" s="5" t="s">
        <v>25</v>
      </c>
      <c r="C69" s="5">
        <v>2010.0</v>
      </c>
      <c r="D69" s="6">
        <v>40223.0</v>
      </c>
      <c r="E69" s="5" t="s">
        <v>17</v>
      </c>
      <c r="F69" s="5" t="s">
        <v>18</v>
      </c>
      <c r="G69" s="5" t="s">
        <v>19</v>
      </c>
      <c r="H69" s="16"/>
      <c r="I69" s="5" t="s">
        <v>62</v>
      </c>
      <c r="J69" s="5" t="s">
        <v>40</v>
      </c>
      <c r="K69" s="5" t="s">
        <v>70</v>
      </c>
      <c r="L69" s="5">
        <v>48.02</v>
      </c>
      <c r="M69" s="5">
        <v>48.195</v>
      </c>
      <c r="N69" s="5" t="s">
        <v>23</v>
      </c>
      <c r="O69" s="7" t="s">
        <v>84</v>
      </c>
      <c r="P69" s="8"/>
      <c r="Q69" s="8"/>
      <c r="R69" s="8"/>
      <c r="S69" s="8"/>
      <c r="T69" s="8"/>
      <c r="U69" s="8"/>
      <c r="V69" s="8"/>
      <c r="W69" s="8"/>
      <c r="X69" s="8"/>
      <c r="Y69" s="8"/>
      <c r="Z69" s="8"/>
      <c r="AA69" s="8"/>
      <c r="AB69" s="8"/>
      <c r="AC69" s="8"/>
      <c r="AD69" s="8"/>
      <c r="AE69" s="8"/>
      <c r="AF69" s="8"/>
      <c r="AG69" s="8"/>
      <c r="AH69" s="8"/>
      <c r="AI69" s="8"/>
      <c r="AJ69" s="8"/>
      <c r="AK69" s="8"/>
      <c r="AL69" s="8"/>
      <c r="AM69" s="8"/>
      <c r="AN69" s="8"/>
    </row>
    <row r="70">
      <c r="A70" s="4">
        <v>40186.0</v>
      </c>
      <c r="B70" s="5" t="s">
        <v>25</v>
      </c>
      <c r="C70" s="5">
        <v>2010.0</v>
      </c>
      <c r="D70" s="6">
        <v>40253.0</v>
      </c>
      <c r="E70" s="5" t="s">
        <v>17</v>
      </c>
      <c r="F70" s="5" t="s">
        <v>18</v>
      </c>
      <c r="G70" s="5" t="s">
        <v>28</v>
      </c>
      <c r="H70" s="5" t="s">
        <v>37</v>
      </c>
      <c r="I70" s="5" t="s">
        <v>62</v>
      </c>
      <c r="J70" s="5" t="s">
        <v>40</v>
      </c>
      <c r="K70" s="5" t="s">
        <v>70</v>
      </c>
      <c r="L70" s="5">
        <v>48.02</v>
      </c>
      <c r="M70" s="5">
        <v>48.195</v>
      </c>
      <c r="N70" s="5" t="s">
        <v>23</v>
      </c>
      <c r="O70" s="7" t="s">
        <v>84</v>
      </c>
      <c r="P70" s="8"/>
      <c r="Q70" s="8"/>
      <c r="R70" s="8"/>
      <c r="S70" s="8"/>
      <c r="T70" s="8"/>
      <c r="U70" s="8"/>
      <c r="V70" s="8"/>
      <c r="W70" s="8"/>
      <c r="X70" s="8"/>
      <c r="Y70" s="8"/>
      <c r="Z70" s="8"/>
      <c r="AA70" s="8"/>
      <c r="AB70" s="8"/>
      <c r="AC70" s="8"/>
      <c r="AD70" s="8"/>
      <c r="AE70" s="8"/>
      <c r="AF70" s="8"/>
      <c r="AG70" s="8"/>
      <c r="AH70" s="8"/>
      <c r="AI70" s="8"/>
      <c r="AJ70" s="8"/>
      <c r="AK70" s="8"/>
      <c r="AL70" s="8"/>
      <c r="AM70" s="8"/>
      <c r="AN70" s="8"/>
    </row>
    <row r="71">
      <c r="A71" s="4">
        <v>40518.0</v>
      </c>
      <c r="B71" s="5" t="s">
        <v>25</v>
      </c>
      <c r="C71" s="5">
        <v>2010.0</v>
      </c>
      <c r="D71" s="6">
        <v>40513.0</v>
      </c>
      <c r="E71" s="5" t="s">
        <v>17</v>
      </c>
      <c r="F71" s="5" t="s">
        <v>18</v>
      </c>
      <c r="G71" s="5" t="s">
        <v>19</v>
      </c>
      <c r="H71" s="5"/>
      <c r="I71" s="5" t="s">
        <v>35</v>
      </c>
      <c r="J71" s="5" t="s">
        <v>40</v>
      </c>
      <c r="K71" s="5" t="s">
        <v>41</v>
      </c>
      <c r="L71" s="5">
        <v>46.25</v>
      </c>
      <c r="M71" s="5">
        <v>46.28</v>
      </c>
      <c r="N71" s="5" t="s">
        <v>23</v>
      </c>
      <c r="O71" s="7" t="s">
        <v>88</v>
      </c>
      <c r="P71" s="8"/>
      <c r="Q71" s="8"/>
      <c r="R71" s="8"/>
      <c r="S71" s="8"/>
      <c r="T71" s="8"/>
      <c r="U71" s="8"/>
      <c r="V71" s="8"/>
      <c r="W71" s="8"/>
      <c r="X71" s="8"/>
      <c r="Y71" s="8"/>
      <c r="Z71" s="8"/>
      <c r="AA71" s="8"/>
      <c r="AB71" s="8"/>
      <c r="AC71" s="8"/>
      <c r="AD71" s="8"/>
      <c r="AE71" s="8"/>
      <c r="AF71" s="8"/>
      <c r="AG71" s="8"/>
      <c r="AH71" s="8"/>
      <c r="AI71" s="8"/>
      <c r="AJ71" s="8"/>
      <c r="AK71" s="8"/>
      <c r="AL71" s="8"/>
      <c r="AM71" s="8"/>
      <c r="AN71" s="8"/>
    </row>
    <row r="72">
      <c r="A72" s="4">
        <v>40518.0</v>
      </c>
      <c r="B72" s="5" t="s">
        <v>25</v>
      </c>
      <c r="C72" s="5">
        <v>2010.0</v>
      </c>
      <c r="D72" s="6">
        <v>40513.0</v>
      </c>
      <c r="E72" s="5" t="s">
        <v>17</v>
      </c>
      <c r="F72" s="5" t="s">
        <v>18</v>
      </c>
      <c r="G72" s="5" t="s">
        <v>19</v>
      </c>
      <c r="H72" s="5"/>
      <c r="I72" s="5" t="s">
        <v>35</v>
      </c>
      <c r="J72" s="5" t="s">
        <v>21</v>
      </c>
      <c r="K72" s="5" t="s">
        <v>73</v>
      </c>
      <c r="L72" s="5">
        <v>46.28</v>
      </c>
      <c r="M72" s="5">
        <v>47.405</v>
      </c>
      <c r="N72" s="5" t="s">
        <v>23</v>
      </c>
      <c r="O72" s="7" t="s">
        <v>88</v>
      </c>
      <c r="P72" s="8"/>
      <c r="Q72" s="8"/>
      <c r="R72" s="8"/>
      <c r="S72" s="8"/>
      <c r="T72" s="8"/>
      <c r="U72" s="8"/>
      <c r="V72" s="8"/>
      <c r="W72" s="8"/>
      <c r="X72" s="8"/>
      <c r="Y72" s="8"/>
      <c r="Z72" s="8"/>
      <c r="AA72" s="8"/>
      <c r="AB72" s="8"/>
      <c r="AC72" s="8"/>
      <c r="AD72" s="8"/>
      <c r="AE72" s="8"/>
      <c r="AF72" s="8"/>
      <c r="AG72" s="8"/>
      <c r="AH72" s="8"/>
      <c r="AI72" s="8"/>
      <c r="AJ72" s="8"/>
      <c r="AK72" s="8"/>
      <c r="AL72" s="8"/>
      <c r="AM72" s="8"/>
      <c r="AN72" s="8"/>
    </row>
    <row r="73">
      <c r="A73" s="4">
        <v>40518.0</v>
      </c>
      <c r="B73" s="5" t="s">
        <v>25</v>
      </c>
      <c r="C73" s="5">
        <v>2011.0</v>
      </c>
      <c r="D73" s="6">
        <v>40558.0</v>
      </c>
      <c r="E73" s="5" t="s">
        <v>17</v>
      </c>
      <c r="F73" s="5" t="s">
        <v>18</v>
      </c>
      <c r="G73" s="5" t="s">
        <v>28</v>
      </c>
      <c r="H73" s="5"/>
      <c r="I73" s="5" t="s">
        <v>35</v>
      </c>
      <c r="J73" s="5" t="s">
        <v>21</v>
      </c>
      <c r="K73" s="5" t="s">
        <v>73</v>
      </c>
      <c r="L73" s="5">
        <v>46.28</v>
      </c>
      <c r="M73" s="5">
        <v>47.405</v>
      </c>
      <c r="N73" s="5" t="s">
        <v>23</v>
      </c>
      <c r="O73" s="7" t="s">
        <v>88</v>
      </c>
      <c r="P73" s="8"/>
      <c r="Q73" s="8"/>
      <c r="R73" s="8"/>
      <c r="S73" s="8"/>
      <c r="T73" s="8"/>
      <c r="U73" s="8"/>
      <c r="V73" s="8"/>
      <c r="W73" s="8"/>
      <c r="X73" s="8"/>
      <c r="Y73" s="8"/>
      <c r="Z73" s="8"/>
      <c r="AA73" s="8"/>
      <c r="AB73" s="8"/>
      <c r="AC73" s="8"/>
      <c r="AD73" s="8"/>
      <c r="AE73" s="8"/>
      <c r="AF73" s="8"/>
      <c r="AG73" s="8"/>
      <c r="AH73" s="8"/>
      <c r="AI73" s="8"/>
      <c r="AJ73" s="8"/>
      <c r="AK73" s="8"/>
      <c r="AL73" s="8"/>
      <c r="AM73" s="8"/>
      <c r="AN73" s="8"/>
    </row>
    <row r="74">
      <c r="A74" s="4">
        <v>40518.0</v>
      </c>
      <c r="B74" s="5" t="s">
        <v>25</v>
      </c>
      <c r="C74" s="5">
        <v>2010.0</v>
      </c>
      <c r="D74" s="6">
        <v>40513.0</v>
      </c>
      <c r="E74" s="5" t="s">
        <v>17</v>
      </c>
      <c r="F74" s="5" t="s">
        <v>18</v>
      </c>
      <c r="G74" s="5" t="s">
        <v>19</v>
      </c>
      <c r="H74" s="5"/>
      <c r="I74" s="5" t="s">
        <v>35</v>
      </c>
      <c r="J74" s="5" t="s">
        <v>21</v>
      </c>
      <c r="K74" s="5" t="s">
        <v>60</v>
      </c>
      <c r="L74" s="5">
        <v>47.405</v>
      </c>
      <c r="M74" s="5">
        <v>48.43333</v>
      </c>
      <c r="N74" s="5" t="s">
        <v>23</v>
      </c>
      <c r="O74" s="7" t="s">
        <v>88</v>
      </c>
      <c r="P74" s="8"/>
      <c r="Q74" s="8"/>
      <c r="R74" s="8"/>
      <c r="S74" s="8"/>
      <c r="T74" s="8"/>
      <c r="U74" s="8"/>
      <c r="V74" s="8"/>
      <c r="W74" s="8"/>
      <c r="X74" s="8"/>
      <c r="Y74" s="8"/>
      <c r="Z74" s="8"/>
      <c r="AA74" s="8"/>
      <c r="AB74" s="8"/>
      <c r="AC74" s="8"/>
      <c r="AD74" s="8"/>
      <c r="AE74" s="8"/>
      <c r="AF74" s="8"/>
      <c r="AG74" s="8"/>
      <c r="AH74" s="8"/>
      <c r="AI74" s="8"/>
      <c r="AJ74" s="8"/>
      <c r="AK74" s="8"/>
      <c r="AL74" s="8"/>
      <c r="AM74" s="8"/>
      <c r="AN74" s="8"/>
    </row>
    <row r="75">
      <c r="A75" s="4">
        <v>40518.0</v>
      </c>
      <c r="B75" s="5" t="s">
        <v>25</v>
      </c>
      <c r="C75" s="5">
        <v>2011.0</v>
      </c>
      <c r="D75" s="6">
        <v>40558.0</v>
      </c>
      <c r="E75" s="5" t="s">
        <v>17</v>
      </c>
      <c r="F75" s="5" t="s">
        <v>18</v>
      </c>
      <c r="G75" s="5" t="s">
        <v>28</v>
      </c>
      <c r="H75" s="5" t="s">
        <v>37</v>
      </c>
      <c r="I75" s="5" t="s">
        <v>35</v>
      </c>
      <c r="J75" s="5" t="s">
        <v>21</v>
      </c>
      <c r="K75" s="5" t="s">
        <v>60</v>
      </c>
      <c r="L75" s="5">
        <v>47.405</v>
      </c>
      <c r="M75" s="5">
        <v>48.43333</v>
      </c>
      <c r="N75" s="5" t="s">
        <v>23</v>
      </c>
      <c r="O75" s="7" t="s">
        <v>88</v>
      </c>
      <c r="P75" s="8"/>
      <c r="Q75" s="8"/>
      <c r="R75" s="8"/>
      <c r="S75" s="8"/>
      <c r="T75" s="8"/>
      <c r="U75" s="8"/>
      <c r="V75" s="8"/>
      <c r="W75" s="8"/>
      <c r="X75" s="8"/>
      <c r="Y75" s="8"/>
      <c r="Z75" s="8"/>
      <c r="AA75" s="8"/>
      <c r="AB75" s="8"/>
      <c r="AC75" s="8"/>
      <c r="AD75" s="8"/>
      <c r="AE75" s="8"/>
      <c r="AF75" s="8"/>
      <c r="AG75" s="8"/>
      <c r="AH75" s="8"/>
      <c r="AI75" s="8"/>
      <c r="AJ75" s="8"/>
      <c r="AK75" s="8"/>
      <c r="AL75" s="8"/>
      <c r="AM75" s="8"/>
      <c r="AN75" s="8"/>
    </row>
    <row r="76">
      <c r="A76" s="4">
        <v>40518.0</v>
      </c>
      <c r="B76" s="5" t="s">
        <v>25</v>
      </c>
      <c r="C76" s="5">
        <v>2011.0</v>
      </c>
      <c r="D76" s="6">
        <v>40558.0</v>
      </c>
      <c r="E76" s="5" t="s">
        <v>17</v>
      </c>
      <c r="F76" s="5" t="s">
        <v>18</v>
      </c>
      <c r="G76" s="5" t="s">
        <v>19</v>
      </c>
      <c r="H76" s="5"/>
      <c r="I76" s="5" t="s">
        <v>62</v>
      </c>
      <c r="J76" s="5" t="s">
        <v>21</v>
      </c>
      <c r="K76" s="5" t="s">
        <v>63</v>
      </c>
      <c r="L76" s="5">
        <v>47.08</v>
      </c>
      <c r="M76" s="5">
        <v>47.28</v>
      </c>
      <c r="N76" s="5" t="s">
        <v>23</v>
      </c>
      <c r="O76" s="7" t="s">
        <v>88</v>
      </c>
      <c r="P76" s="8"/>
      <c r="Q76" s="8"/>
      <c r="R76" s="8"/>
      <c r="S76" s="8"/>
      <c r="T76" s="8"/>
      <c r="U76" s="8"/>
      <c r="V76" s="8"/>
      <c r="W76" s="8"/>
      <c r="X76" s="8"/>
      <c r="Y76" s="8"/>
      <c r="Z76" s="8"/>
      <c r="AA76" s="8"/>
      <c r="AB76" s="8"/>
      <c r="AC76" s="8"/>
      <c r="AD76" s="8"/>
      <c r="AE76" s="8"/>
      <c r="AF76" s="8"/>
      <c r="AG76" s="8"/>
      <c r="AH76" s="8"/>
      <c r="AI76" s="8"/>
      <c r="AJ76" s="8"/>
      <c r="AK76" s="8"/>
      <c r="AL76" s="8"/>
      <c r="AM76" s="8"/>
      <c r="AN76" s="8"/>
    </row>
    <row r="77">
      <c r="A77" s="4">
        <v>40518.0</v>
      </c>
      <c r="B77" s="5" t="s">
        <v>25</v>
      </c>
      <c r="C77" s="5">
        <v>2011.0</v>
      </c>
      <c r="D77" s="6">
        <v>40624.0</v>
      </c>
      <c r="E77" s="5" t="s">
        <v>17</v>
      </c>
      <c r="F77" s="5" t="s">
        <v>18</v>
      </c>
      <c r="G77" s="5" t="s">
        <v>28</v>
      </c>
      <c r="H77" s="5"/>
      <c r="I77" s="5" t="s">
        <v>62</v>
      </c>
      <c r="J77" s="5" t="s">
        <v>21</v>
      </c>
      <c r="K77" s="5" t="s">
        <v>85</v>
      </c>
      <c r="L77" s="5">
        <v>47.245</v>
      </c>
      <c r="M77" s="5">
        <v>47.28</v>
      </c>
      <c r="N77" s="5" t="s">
        <v>23</v>
      </c>
      <c r="O77" s="7" t="s">
        <v>88</v>
      </c>
      <c r="P77" s="5" t="s">
        <v>89</v>
      </c>
      <c r="Q77" s="8"/>
      <c r="R77" s="8"/>
      <c r="S77" s="8"/>
      <c r="T77" s="8"/>
      <c r="U77" s="8"/>
      <c r="V77" s="8"/>
      <c r="W77" s="8"/>
      <c r="X77" s="8"/>
      <c r="Y77" s="8"/>
      <c r="Z77" s="8"/>
      <c r="AA77" s="8"/>
      <c r="AB77" s="8"/>
      <c r="AC77" s="8"/>
      <c r="AD77" s="8"/>
      <c r="AE77" s="8"/>
      <c r="AF77" s="8"/>
      <c r="AG77" s="8"/>
      <c r="AH77" s="8"/>
      <c r="AI77" s="8"/>
      <c r="AJ77" s="8"/>
      <c r="AK77" s="8"/>
      <c r="AL77" s="8"/>
      <c r="AM77" s="8"/>
      <c r="AN77" s="8"/>
    </row>
    <row r="78">
      <c r="A78" s="4">
        <v>40518.0</v>
      </c>
      <c r="B78" s="5" t="s">
        <v>25</v>
      </c>
      <c r="C78" s="5">
        <v>2010.0</v>
      </c>
      <c r="D78" s="6">
        <v>40558.0</v>
      </c>
      <c r="E78" s="5" t="s">
        <v>17</v>
      </c>
      <c r="F78" s="5" t="s">
        <v>18</v>
      </c>
      <c r="G78" s="5" t="s">
        <v>28</v>
      </c>
      <c r="H78" s="5" t="s">
        <v>37</v>
      </c>
      <c r="I78" s="5" t="s">
        <v>35</v>
      </c>
      <c r="J78" s="5" t="s">
        <v>40</v>
      </c>
      <c r="K78" s="5" t="s">
        <v>41</v>
      </c>
      <c r="L78" s="5">
        <v>46.25</v>
      </c>
      <c r="M78" s="5">
        <v>46.28</v>
      </c>
      <c r="N78" s="5" t="s">
        <v>23</v>
      </c>
      <c r="O78" s="7" t="s">
        <v>88</v>
      </c>
      <c r="P78" s="5" t="s">
        <v>90</v>
      </c>
      <c r="Q78" s="8"/>
      <c r="R78" s="8"/>
      <c r="S78" s="8"/>
      <c r="T78" s="8"/>
      <c r="U78" s="8"/>
      <c r="V78" s="8"/>
      <c r="W78" s="8"/>
      <c r="X78" s="8"/>
      <c r="Y78" s="8"/>
      <c r="Z78" s="8"/>
      <c r="AA78" s="8"/>
      <c r="AB78" s="8"/>
      <c r="AC78" s="8"/>
      <c r="AD78" s="8"/>
      <c r="AE78" s="8"/>
      <c r="AF78" s="8"/>
      <c r="AG78" s="8"/>
      <c r="AH78" s="8"/>
      <c r="AI78" s="8"/>
      <c r="AJ78" s="8"/>
      <c r="AK78" s="8"/>
      <c r="AL78" s="8"/>
      <c r="AM78" s="8"/>
      <c r="AN78" s="8"/>
    </row>
    <row r="79">
      <c r="A79" s="4">
        <v>40518.0</v>
      </c>
      <c r="B79" s="5" t="s">
        <v>25</v>
      </c>
      <c r="C79" s="5">
        <v>2011.0</v>
      </c>
      <c r="D79" s="6">
        <v>40624.0</v>
      </c>
      <c r="E79" s="5" t="s">
        <v>17</v>
      </c>
      <c r="F79" s="5" t="s">
        <v>18</v>
      </c>
      <c r="G79" s="5" t="s">
        <v>19</v>
      </c>
      <c r="H79" s="5"/>
      <c r="I79" s="5" t="s">
        <v>62</v>
      </c>
      <c r="J79" s="5" t="s">
        <v>21</v>
      </c>
      <c r="K79" s="5" t="s">
        <v>87</v>
      </c>
      <c r="L79" s="5">
        <v>47.08</v>
      </c>
      <c r="M79" s="5">
        <v>47.245</v>
      </c>
      <c r="N79" s="5" t="s">
        <v>23</v>
      </c>
      <c r="O79" s="7" t="s">
        <v>88</v>
      </c>
      <c r="P79" s="5" t="s">
        <v>91</v>
      </c>
      <c r="Q79" s="8"/>
      <c r="R79" s="8"/>
      <c r="S79" s="8"/>
      <c r="T79" s="8"/>
      <c r="U79" s="8"/>
      <c r="V79" s="8"/>
      <c r="W79" s="8"/>
      <c r="X79" s="8"/>
      <c r="Y79" s="8"/>
      <c r="Z79" s="8"/>
      <c r="AA79" s="8"/>
      <c r="AB79" s="8"/>
      <c r="AC79" s="8"/>
      <c r="AD79" s="8"/>
      <c r="AE79" s="8"/>
      <c r="AF79" s="8"/>
      <c r="AG79" s="8"/>
      <c r="AH79" s="8"/>
      <c r="AI79" s="8"/>
      <c r="AJ79" s="8"/>
      <c r="AK79" s="8"/>
      <c r="AL79" s="8"/>
      <c r="AM79" s="8"/>
      <c r="AN79" s="8"/>
    </row>
    <row r="80">
      <c r="A80" s="4">
        <v>40518.0</v>
      </c>
      <c r="B80" s="5" t="s">
        <v>25</v>
      </c>
      <c r="C80" s="5">
        <v>2011.0</v>
      </c>
      <c r="D80" s="6">
        <v>40558.0</v>
      </c>
      <c r="E80" s="5" t="s">
        <v>17</v>
      </c>
      <c r="F80" s="5" t="s">
        <v>18</v>
      </c>
      <c r="G80" s="5" t="s">
        <v>19</v>
      </c>
      <c r="H80" s="5"/>
      <c r="I80" s="5" t="s">
        <v>62</v>
      </c>
      <c r="J80" s="5" t="s">
        <v>21</v>
      </c>
      <c r="K80" s="5" t="s">
        <v>69</v>
      </c>
      <c r="L80" s="5">
        <v>47.405</v>
      </c>
      <c r="M80" s="5">
        <v>47.58</v>
      </c>
      <c r="N80" s="5" t="s">
        <v>23</v>
      </c>
      <c r="O80" s="7" t="s">
        <v>88</v>
      </c>
      <c r="P80" s="8"/>
      <c r="Q80" s="8"/>
      <c r="R80" s="8"/>
      <c r="S80" s="8"/>
      <c r="T80" s="8"/>
      <c r="U80" s="8"/>
      <c r="V80" s="8"/>
      <c r="W80" s="8"/>
      <c r="X80" s="8"/>
      <c r="Y80" s="8"/>
      <c r="Z80" s="8"/>
      <c r="AA80" s="8"/>
      <c r="AB80" s="8"/>
      <c r="AC80" s="8"/>
      <c r="AD80" s="8"/>
      <c r="AE80" s="8"/>
      <c r="AF80" s="8"/>
      <c r="AG80" s="8"/>
      <c r="AH80" s="8"/>
      <c r="AI80" s="8"/>
      <c r="AJ80" s="8"/>
      <c r="AK80" s="8"/>
      <c r="AL80" s="8"/>
      <c r="AM80" s="8"/>
      <c r="AN80" s="8"/>
    </row>
    <row r="81">
      <c r="A81" s="4">
        <v>40660.0</v>
      </c>
      <c r="B81" s="5" t="s">
        <v>25</v>
      </c>
      <c r="C81" s="5">
        <v>2011.0</v>
      </c>
      <c r="D81" s="6">
        <v>40664.0</v>
      </c>
      <c r="E81" s="5" t="s">
        <v>17</v>
      </c>
      <c r="F81" s="5" t="s">
        <v>18</v>
      </c>
      <c r="G81" s="5" t="s">
        <v>19</v>
      </c>
      <c r="H81" s="5"/>
      <c r="I81" s="5" t="s">
        <v>62</v>
      </c>
      <c r="J81" s="5" t="s">
        <v>40</v>
      </c>
      <c r="K81" s="5" t="s">
        <v>69</v>
      </c>
      <c r="L81" s="5">
        <v>47.405</v>
      </c>
      <c r="M81" s="5">
        <v>47.58</v>
      </c>
      <c r="N81" s="5" t="s">
        <v>23</v>
      </c>
      <c r="O81" s="7" t="s">
        <v>92</v>
      </c>
      <c r="P81" s="8"/>
      <c r="Q81" s="8"/>
      <c r="R81" s="8"/>
      <c r="S81" s="8"/>
      <c r="T81" s="8"/>
      <c r="U81" s="8"/>
      <c r="V81" s="8"/>
      <c r="W81" s="8"/>
      <c r="X81" s="8"/>
      <c r="Y81" s="8"/>
      <c r="Z81" s="8"/>
      <c r="AA81" s="8"/>
      <c r="AB81" s="8"/>
      <c r="AC81" s="8"/>
      <c r="AD81" s="8"/>
      <c r="AE81" s="8"/>
      <c r="AF81" s="8"/>
      <c r="AG81" s="8"/>
      <c r="AH81" s="8"/>
      <c r="AI81" s="8"/>
      <c r="AJ81" s="8"/>
      <c r="AK81" s="8"/>
      <c r="AL81" s="8"/>
      <c r="AM81" s="8"/>
      <c r="AN81" s="8"/>
    </row>
    <row r="82">
      <c r="A82" s="4">
        <v>40660.0</v>
      </c>
      <c r="B82" s="5" t="s">
        <v>25</v>
      </c>
      <c r="C82" s="5">
        <v>2011.0</v>
      </c>
      <c r="D82" s="6">
        <v>40695.0</v>
      </c>
      <c r="E82" s="5" t="s">
        <v>17</v>
      </c>
      <c r="F82" s="5" t="s">
        <v>18</v>
      </c>
      <c r="G82" s="5" t="s">
        <v>28</v>
      </c>
      <c r="H82" s="5"/>
      <c r="I82" s="5" t="s">
        <v>62</v>
      </c>
      <c r="J82" s="5" t="s">
        <v>40</v>
      </c>
      <c r="K82" s="5" t="s">
        <v>69</v>
      </c>
      <c r="L82" s="5">
        <v>47.405</v>
      </c>
      <c r="M82" s="5">
        <v>47.58</v>
      </c>
      <c r="N82" s="5" t="s">
        <v>23</v>
      </c>
      <c r="O82" s="7" t="s">
        <v>92</v>
      </c>
      <c r="P82" s="8"/>
      <c r="Q82" s="8"/>
      <c r="R82" s="8"/>
      <c r="S82" s="8"/>
      <c r="T82" s="8"/>
      <c r="U82" s="8"/>
      <c r="V82" s="8"/>
      <c r="W82" s="8"/>
      <c r="X82" s="8"/>
      <c r="Y82" s="8"/>
      <c r="Z82" s="8"/>
      <c r="AA82" s="8"/>
      <c r="AB82" s="8"/>
      <c r="AC82" s="8"/>
      <c r="AD82" s="8"/>
      <c r="AE82" s="8"/>
      <c r="AF82" s="8"/>
      <c r="AG82" s="8"/>
      <c r="AH82" s="8"/>
      <c r="AI82" s="8"/>
      <c r="AJ82" s="8"/>
      <c r="AK82" s="8"/>
      <c r="AL82" s="8"/>
      <c r="AM82" s="8"/>
      <c r="AN82" s="8"/>
    </row>
    <row r="83">
      <c r="A83" s="4">
        <v>40518.0</v>
      </c>
      <c r="B83" s="5" t="s">
        <v>25</v>
      </c>
      <c r="C83" s="5">
        <v>2011.0</v>
      </c>
      <c r="D83" s="6">
        <v>40558.0</v>
      </c>
      <c r="E83" s="5" t="s">
        <v>17</v>
      </c>
      <c r="F83" s="5" t="s">
        <v>18</v>
      </c>
      <c r="G83" s="5" t="s">
        <v>19</v>
      </c>
      <c r="H83" s="5"/>
      <c r="I83" s="5" t="s">
        <v>62</v>
      </c>
      <c r="J83" s="5" t="s">
        <v>40</v>
      </c>
      <c r="K83" s="5" t="s">
        <v>70</v>
      </c>
      <c r="L83" s="5">
        <v>48.02</v>
      </c>
      <c r="M83" s="5">
        <v>48.195</v>
      </c>
      <c r="N83" s="5" t="s">
        <v>23</v>
      </c>
      <c r="O83" s="7" t="s">
        <v>88</v>
      </c>
      <c r="P83" s="8"/>
      <c r="Q83" s="8"/>
      <c r="R83" s="8"/>
      <c r="S83" s="8"/>
      <c r="T83" s="8"/>
      <c r="U83" s="8"/>
      <c r="V83" s="8"/>
      <c r="W83" s="8"/>
      <c r="X83" s="8"/>
      <c r="Y83" s="8"/>
      <c r="Z83" s="8"/>
      <c r="AA83" s="8"/>
      <c r="AB83" s="8"/>
      <c r="AC83" s="8"/>
      <c r="AD83" s="8"/>
      <c r="AE83" s="8"/>
      <c r="AF83" s="8"/>
      <c r="AG83" s="8"/>
      <c r="AH83" s="8"/>
      <c r="AI83" s="8"/>
      <c r="AJ83" s="8"/>
      <c r="AK83" s="8"/>
      <c r="AL83" s="8"/>
      <c r="AM83" s="8"/>
      <c r="AN83" s="8"/>
    </row>
    <row r="84">
      <c r="A84" s="4">
        <v>40518.0</v>
      </c>
      <c r="B84" s="5" t="s">
        <v>25</v>
      </c>
      <c r="C84" s="5">
        <v>2011.0</v>
      </c>
      <c r="D84" s="6">
        <v>40588.0</v>
      </c>
      <c r="E84" s="5" t="s">
        <v>17</v>
      </c>
      <c r="F84" s="5" t="s">
        <v>18</v>
      </c>
      <c r="G84" s="5" t="s">
        <v>19</v>
      </c>
      <c r="H84" s="5" t="s">
        <v>37</v>
      </c>
      <c r="I84" s="5" t="s">
        <v>62</v>
      </c>
      <c r="J84" s="5" t="s">
        <v>40</v>
      </c>
      <c r="K84" s="5" t="s">
        <v>70</v>
      </c>
      <c r="L84" s="5">
        <v>48.02</v>
      </c>
      <c r="M84" s="5">
        <v>48.195</v>
      </c>
      <c r="N84" s="5" t="s">
        <v>23</v>
      </c>
      <c r="O84" s="7" t="s">
        <v>88</v>
      </c>
      <c r="P84" s="8"/>
      <c r="Q84" s="8"/>
      <c r="R84" s="8"/>
      <c r="S84" s="8"/>
      <c r="T84" s="8"/>
      <c r="U84" s="8"/>
      <c r="V84" s="8"/>
      <c r="W84" s="8"/>
      <c r="X84" s="8"/>
      <c r="Y84" s="8"/>
      <c r="Z84" s="8"/>
      <c r="AA84" s="8"/>
      <c r="AB84" s="8"/>
      <c r="AC84" s="8"/>
      <c r="AD84" s="8"/>
      <c r="AE84" s="8"/>
      <c r="AF84" s="8"/>
      <c r="AG84" s="8"/>
      <c r="AH84" s="8"/>
      <c r="AI84" s="8"/>
      <c r="AJ84" s="8"/>
      <c r="AK84" s="8"/>
      <c r="AL84" s="8"/>
      <c r="AM84" s="8"/>
      <c r="AN84" s="8"/>
    </row>
    <row r="85">
      <c r="A85" s="4">
        <v>40518.0</v>
      </c>
      <c r="B85" s="5" t="s">
        <v>25</v>
      </c>
      <c r="C85" s="5">
        <v>2011.0</v>
      </c>
      <c r="D85" s="6">
        <v>40618.0</v>
      </c>
      <c r="E85" s="5" t="s">
        <v>17</v>
      </c>
      <c r="F85" s="5" t="s">
        <v>18</v>
      </c>
      <c r="G85" s="5" t="s">
        <v>28</v>
      </c>
      <c r="H85" s="5" t="s">
        <v>37</v>
      </c>
      <c r="I85" s="5" t="s">
        <v>62</v>
      </c>
      <c r="J85" s="5" t="s">
        <v>40</v>
      </c>
      <c r="K85" s="5" t="s">
        <v>70</v>
      </c>
      <c r="L85" s="5">
        <v>48.02</v>
      </c>
      <c r="M85" s="5">
        <v>48.195</v>
      </c>
      <c r="N85" s="5" t="s">
        <v>23</v>
      </c>
      <c r="O85" s="7" t="s">
        <v>88</v>
      </c>
      <c r="P85" s="8"/>
      <c r="Q85" s="8"/>
      <c r="R85" s="8"/>
      <c r="S85" s="8"/>
      <c r="T85" s="8"/>
      <c r="U85" s="8"/>
      <c r="V85" s="8"/>
      <c r="W85" s="8"/>
      <c r="X85" s="8"/>
      <c r="Y85" s="8"/>
      <c r="Z85" s="8"/>
      <c r="AA85" s="8"/>
      <c r="AB85" s="8"/>
      <c r="AC85" s="8"/>
      <c r="AD85" s="8"/>
      <c r="AE85" s="8"/>
      <c r="AF85" s="8"/>
      <c r="AG85" s="8"/>
      <c r="AH85" s="8"/>
      <c r="AI85" s="8"/>
      <c r="AJ85" s="8"/>
      <c r="AK85" s="8"/>
      <c r="AL85" s="8"/>
      <c r="AM85" s="8"/>
      <c r="AN85" s="8"/>
    </row>
    <row r="86">
      <c r="A86" s="17">
        <v>40521.0</v>
      </c>
      <c r="B86" s="5" t="s">
        <v>16</v>
      </c>
      <c r="C86" s="5">
        <v>2010.0</v>
      </c>
      <c r="D86" s="14">
        <v>40522.0</v>
      </c>
      <c r="E86" s="5" t="s">
        <v>17</v>
      </c>
      <c r="F86" s="5" t="s">
        <v>18</v>
      </c>
      <c r="G86" s="5" t="s">
        <v>19</v>
      </c>
      <c r="H86" s="5"/>
      <c r="I86" s="5" t="s">
        <v>20</v>
      </c>
      <c r="J86" s="5" t="s">
        <v>21</v>
      </c>
      <c r="K86" s="5" t="s">
        <v>93</v>
      </c>
      <c r="L86" s="5">
        <v>42.25</v>
      </c>
      <c r="M86" s="5">
        <v>42.5</v>
      </c>
      <c r="N86" s="5" t="s">
        <v>23</v>
      </c>
      <c r="O86" s="10" t="s">
        <v>94</v>
      </c>
      <c r="P86" s="5" t="s">
        <v>95</v>
      </c>
      <c r="Q86" s="8"/>
      <c r="R86" s="8"/>
      <c r="S86" s="8"/>
      <c r="T86" s="8"/>
      <c r="U86" s="8"/>
      <c r="V86" s="8"/>
      <c r="W86" s="8"/>
      <c r="X86" s="8"/>
      <c r="Y86" s="8"/>
      <c r="Z86" s="8"/>
      <c r="AA86" s="8"/>
      <c r="AB86" s="8"/>
      <c r="AC86" s="8"/>
      <c r="AD86" s="8"/>
      <c r="AE86" s="8"/>
      <c r="AF86" s="8"/>
      <c r="AG86" s="8"/>
      <c r="AH86" s="8"/>
      <c r="AI86" s="8"/>
      <c r="AJ86" s="8"/>
      <c r="AK86" s="8"/>
      <c r="AL86" s="8"/>
      <c r="AM86" s="8"/>
      <c r="AN86" s="8"/>
    </row>
    <row r="87">
      <c r="A87" s="17">
        <v>40521.0</v>
      </c>
      <c r="B87" s="5" t="s">
        <v>16</v>
      </c>
      <c r="C87" s="5">
        <v>2010.0</v>
      </c>
      <c r="D87" s="14">
        <v>40559.0</v>
      </c>
      <c r="E87" s="5" t="s">
        <v>17</v>
      </c>
      <c r="F87" s="5" t="s">
        <v>18</v>
      </c>
      <c r="G87" s="5" t="s">
        <v>28</v>
      </c>
      <c r="H87" s="5"/>
      <c r="I87" s="5" t="s">
        <v>20</v>
      </c>
      <c r="J87" s="5" t="s">
        <v>21</v>
      </c>
      <c r="K87" s="5" t="s">
        <v>93</v>
      </c>
      <c r="L87" s="5">
        <v>42.25</v>
      </c>
      <c r="M87" s="5">
        <v>42.5</v>
      </c>
      <c r="N87" s="5" t="s">
        <v>23</v>
      </c>
      <c r="O87" s="10" t="s">
        <v>94</v>
      </c>
      <c r="P87" s="5" t="s">
        <v>95</v>
      </c>
      <c r="Q87" s="8"/>
      <c r="R87" s="8"/>
      <c r="S87" s="8"/>
      <c r="T87" s="8"/>
      <c r="U87" s="8"/>
      <c r="V87" s="8"/>
      <c r="W87" s="8"/>
      <c r="X87" s="8"/>
      <c r="Y87" s="8"/>
      <c r="Z87" s="8"/>
      <c r="AA87" s="8"/>
      <c r="AB87" s="8"/>
      <c r="AC87" s="8"/>
      <c r="AD87" s="8"/>
      <c r="AE87" s="8"/>
      <c r="AF87" s="8"/>
      <c r="AG87" s="8"/>
      <c r="AH87" s="8"/>
      <c r="AI87" s="8"/>
      <c r="AJ87" s="8"/>
      <c r="AK87" s="8"/>
      <c r="AL87" s="8"/>
      <c r="AM87" s="8"/>
      <c r="AN87" s="8"/>
    </row>
    <row r="88">
      <c r="A88" s="4">
        <v>40885.0</v>
      </c>
      <c r="B88" s="5" t="s">
        <v>48</v>
      </c>
      <c r="C88" s="5">
        <v>2011.0</v>
      </c>
      <c r="D88" s="14">
        <v>40878.0</v>
      </c>
      <c r="E88" s="5" t="s">
        <v>17</v>
      </c>
      <c r="F88" s="5" t="s">
        <v>18</v>
      </c>
      <c r="G88" s="5" t="s">
        <v>19</v>
      </c>
      <c r="H88" s="5"/>
      <c r="I88" s="5" t="s">
        <v>20</v>
      </c>
      <c r="J88" s="5" t="s">
        <v>21</v>
      </c>
      <c r="K88" s="5" t="s">
        <v>58</v>
      </c>
      <c r="L88" s="5">
        <v>38.7666488</v>
      </c>
      <c r="M88" s="5">
        <v>42.0</v>
      </c>
      <c r="N88" s="5" t="s">
        <v>23</v>
      </c>
      <c r="O88" s="7" t="s">
        <v>96</v>
      </c>
      <c r="P88" s="8"/>
      <c r="Q88" s="8"/>
      <c r="R88" s="8"/>
      <c r="S88" s="8"/>
      <c r="T88" s="8"/>
      <c r="U88" s="8"/>
      <c r="V88" s="8"/>
      <c r="W88" s="8"/>
      <c r="X88" s="8"/>
      <c r="Y88" s="8"/>
      <c r="Z88" s="8"/>
      <c r="AA88" s="8"/>
      <c r="AB88" s="8"/>
      <c r="AC88" s="8"/>
      <c r="AD88" s="8"/>
      <c r="AE88" s="8"/>
      <c r="AF88" s="8"/>
      <c r="AG88" s="8"/>
      <c r="AH88" s="8"/>
      <c r="AI88" s="8"/>
      <c r="AJ88" s="8"/>
      <c r="AK88" s="8"/>
      <c r="AL88" s="8"/>
      <c r="AM88" s="8"/>
      <c r="AN88" s="8"/>
    </row>
    <row r="89">
      <c r="A89" s="4">
        <v>40885.0</v>
      </c>
      <c r="B89" s="5" t="s">
        <v>48</v>
      </c>
      <c r="C89" s="5">
        <v>2012.0</v>
      </c>
      <c r="D89" s="14">
        <v>40923.0</v>
      </c>
      <c r="E89" s="5" t="s">
        <v>17</v>
      </c>
      <c r="F89" s="5" t="s">
        <v>18</v>
      </c>
      <c r="G89" s="5" t="s">
        <v>28</v>
      </c>
      <c r="H89" s="5"/>
      <c r="I89" s="5" t="s">
        <v>20</v>
      </c>
      <c r="J89" s="5" t="s">
        <v>21</v>
      </c>
      <c r="K89" s="5" t="s">
        <v>58</v>
      </c>
      <c r="L89" s="5">
        <v>38.7666488</v>
      </c>
      <c r="M89" s="5">
        <v>42.0</v>
      </c>
      <c r="N89" s="5" t="s">
        <v>23</v>
      </c>
      <c r="O89" s="7" t="s">
        <v>96</v>
      </c>
      <c r="P89" s="8"/>
      <c r="Q89" s="8"/>
      <c r="R89" s="8"/>
      <c r="S89" s="8"/>
      <c r="T89" s="8"/>
      <c r="U89" s="8"/>
      <c r="V89" s="8"/>
      <c r="W89" s="8"/>
      <c r="X89" s="8"/>
      <c r="Y89" s="8"/>
      <c r="Z89" s="8"/>
      <c r="AA89" s="8"/>
      <c r="AB89" s="8"/>
      <c r="AC89" s="8"/>
      <c r="AD89" s="8"/>
      <c r="AE89" s="8"/>
      <c r="AF89" s="8"/>
      <c r="AG89" s="8"/>
      <c r="AH89" s="8"/>
      <c r="AI89" s="8"/>
      <c r="AJ89" s="8"/>
      <c r="AK89" s="8"/>
      <c r="AL89" s="8"/>
      <c r="AM89" s="8"/>
      <c r="AN89" s="8"/>
    </row>
    <row r="90">
      <c r="A90" s="4">
        <v>40857.0</v>
      </c>
      <c r="B90" s="5" t="s">
        <v>16</v>
      </c>
      <c r="C90" s="5">
        <v>2011.0</v>
      </c>
      <c r="D90" s="14">
        <v>40878.0</v>
      </c>
      <c r="E90" s="5" t="s">
        <v>17</v>
      </c>
      <c r="F90" s="5" t="s">
        <v>18</v>
      </c>
      <c r="G90" s="5" t="s">
        <v>19</v>
      </c>
      <c r="H90" s="5"/>
      <c r="I90" s="5" t="s">
        <v>20</v>
      </c>
      <c r="J90" s="5" t="s">
        <v>21</v>
      </c>
      <c r="K90" s="5" t="s">
        <v>38</v>
      </c>
      <c r="L90" s="9">
        <v>42.0</v>
      </c>
      <c r="M90" s="5">
        <v>46.25</v>
      </c>
      <c r="N90" s="5" t="s">
        <v>23</v>
      </c>
      <c r="O90" s="7" t="s">
        <v>97</v>
      </c>
      <c r="P90" s="8"/>
      <c r="Q90" s="8"/>
      <c r="R90" s="8"/>
      <c r="S90" s="8"/>
      <c r="T90" s="8"/>
      <c r="U90" s="8"/>
      <c r="V90" s="8"/>
      <c r="W90" s="8"/>
      <c r="X90" s="8"/>
      <c r="Y90" s="8"/>
      <c r="Z90" s="8"/>
      <c r="AA90" s="8"/>
      <c r="AB90" s="8"/>
      <c r="AC90" s="8"/>
      <c r="AD90" s="8"/>
      <c r="AE90" s="8"/>
      <c r="AF90" s="8"/>
      <c r="AG90" s="8"/>
      <c r="AH90" s="8"/>
      <c r="AI90" s="8"/>
      <c r="AJ90" s="8"/>
      <c r="AK90" s="8"/>
      <c r="AL90" s="8"/>
      <c r="AM90" s="8"/>
      <c r="AN90" s="8"/>
    </row>
    <row r="91">
      <c r="A91" s="4">
        <v>40885.0</v>
      </c>
      <c r="B91" s="5" t="s">
        <v>25</v>
      </c>
      <c r="C91" s="5">
        <v>2011.0</v>
      </c>
      <c r="D91" s="14">
        <v>40892.0</v>
      </c>
      <c r="E91" s="5" t="s">
        <v>17</v>
      </c>
      <c r="F91" s="5" t="s">
        <v>18</v>
      </c>
      <c r="G91" s="5" t="s">
        <v>28</v>
      </c>
      <c r="H91" s="5"/>
      <c r="I91" s="5" t="s">
        <v>20</v>
      </c>
      <c r="J91" s="5" t="s">
        <v>21</v>
      </c>
      <c r="K91" s="5" t="s">
        <v>98</v>
      </c>
      <c r="L91" s="5">
        <v>42.26</v>
      </c>
      <c r="M91" s="5">
        <v>46.25</v>
      </c>
      <c r="N91" s="5" t="s">
        <v>23</v>
      </c>
      <c r="O91" s="7" t="s">
        <v>99</v>
      </c>
      <c r="P91" s="8"/>
      <c r="Q91" s="8"/>
      <c r="R91" s="8"/>
      <c r="S91" s="8"/>
      <c r="T91" s="8"/>
      <c r="U91" s="8"/>
      <c r="V91" s="8"/>
      <c r="W91" s="8"/>
      <c r="X91" s="8"/>
      <c r="Y91" s="8"/>
      <c r="Z91" s="8"/>
      <c r="AA91" s="8"/>
      <c r="AB91" s="8"/>
      <c r="AC91" s="8"/>
      <c r="AD91" s="8"/>
      <c r="AE91" s="8"/>
      <c r="AF91" s="8"/>
      <c r="AG91" s="8"/>
      <c r="AH91" s="8"/>
      <c r="AI91" s="8"/>
      <c r="AJ91" s="8"/>
      <c r="AK91" s="8"/>
      <c r="AL91" s="8"/>
      <c r="AM91" s="8"/>
      <c r="AN91" s="8"/>
    </row>
    <row r="92">
      <c r="A92" s="4">
        <v>40885.0</v>
      </c>
      <c r="B92" s="5" t="s">
        <v>25</v>
      </c>
      <c r="C92" s="5">
        <v>2012.0</v>
      </c>
      <c r="D92" s="14">
        <v>40923.0</v>
      </c>
      <c r="E92" s="5" t="s">
        <v>17</v>
      </c>
      <c r="F92" s="5" t="s">
        <v>18</v>
      </c>
      <c r="G92" s="5" t="s">
        <v>28</v>
      </c>
      <c r="H92" s="5"/>
      <c r="I92" s="5" t="s">
        <v>20</v>
      </c>
      <c r="J92" s="5" t="s">
        <v>21</v>
      </c>
      <c r="K92" s="5" t="s">
        <v>100</v>
      </c>
      <c r="L92" s="5">
        <v>42.0</v>
      </c>
      <c r="M92" s="5">
        <v>42.26</v>
      </c>
      <c r="N92" s="5" t="s">
        <v>23</v>
      </c>
      <c r="O92" s="7" t="s">
        <v>99</v>
      </c>
      <c r="P92" s="8"/>
      <c r="Q92" s="8"/>
      <c r="R92" s="8"/>
      <c r="S92" s="8"/>
      <c r="T92" s="8"/>
      <c r="U92" s="8"/>
      <c r="V92" s="8"/>
      <c r="W92" s="8"/>
      <c r="X92" s="8"/>
      <c r="Y92" s="8"/>
      <c r="Z92" s="8"/>
      <c r="AA92" s="8"/>
      <c r="AB92" s="8"/>
      <c r="AC92" s="8"/>
      <c r="AD92" s="8"/>
      <c r="AE92" s="8"/>
      <c r="AF92" s="8"/>
      <c r="AG92" s="8"/>
      <c r="AH92" s="8"/>
      <c r="AI92" s="8"/>
      <c r="AJ92" s="8"/>
      <c r="AK92" s="8"/>
      <c r="AL92" s="8"/>
      <c r="AM92" s="8"/>
      <c r="AN92" s="8"/>
    </row>
    <row r="93">
      <c r="A93" s="4">
        <v>40857.0</v>
      </c>
      <c r="B93" s="5" t="s">
        <v>25</v>
      </c>
      <c r="C93" s="5">
        <v>2011.0</v>
      </c>
      <c r="D93" s="14">
        <v>40878.0</v>
      </c>
      <c r="E93" s="5" t="s">
        <v>17</v>
      </c>
      <c r="F93" s="5" t="s">
        <v>18</v>
      </c>
      <c r="G93" s="5" t="s">
        <v>19</v>
      </c>
      <c r="H93" s="5"/>
      <c r="I93" s="5" t="s">
        <v>20</v>
      </c>
      <c r="J93" s="5" t="s">
        <v>21</v>
      </c>
      <c r="K93" s="5" t="s">
        <v>41</v>
      </c>
      <c r="L93" s="5">
        <v>46.25</v>
      </c>
      <c r="M93" s="5">
        <v>46.28</v>
      </c>
      <c r="N93" s="5" t="s">
        <v>23</v>
      </c>
      <c r="O93" s="7" t="s">
        <v>101</v>
      </c>
      <c r="P93" s="8"/>
      <c r="Q93" s="8"/>
      <c r="R93" s="8"/>
      <c r="S93" s="8"/>
      <c r="T93" s="8"/>
      <c r="U93" s="8"/>
      <c r="V93" s="8"/>
      <c r="W93" s="8"/>
      <c r="X93" s="8"/>
      <c r="Y93" s="8"/>
      <c r="Z93" s="8"/>
      <c r="AA93" s="8"/>
      <c r="AB93" s="8"/>
      <c r="AC93" s="8"/>
      <c r="AD93" s="8"/>
      <c r="AE93" s="8"/>
      <c r="AF93" s="8"/>
      <c r="AG93" s="8"/>
      <c r="AH93" s="8"/>
      <c r="AI93" s="8"/>
      <c r="AJ93" s="8"/>
      <c r="AK93" s="8"/>
      <c r="AL93" s="8"/>
      <c r="AM93" s="8"/>
      <c r="AN93" s="8"/>
    </row>
    <row r="94">
      <c r="A94" s="4">
        <v>40885.0</v>
      </c>
      <c r="B94" s="5" t="s">
        <v>25</v>
      </c>
      <c r="C94" s="5">
        <v>2011.0</v>
      </c>
      <c r="D94" s="14">
        <v>40892.0</v>
      </c>
      <c r="E94" s="5" t="s">
        <v>17</v>
      </c>
      <c r="F94" s="5" t="s">
        <v>18</v>
      </c>
      <c r="G94" s="5" t="s">
        <v>19</v>
      </c>
      <c r="H94" s="5"/>
      <c r="I94" s="5" t="s">
        <v>35</v>
      </c>
      <c r="J94" s="5" t="s">
        <v>40</v>
      </c>
      <c r="K94" s="5" t="s">
        <v>41</v>
      </c>
      <c r="L94" s="5">
        <v>46.25</v>
      </c>
      <c r="M94" s="5">
        <v>46.28</v>
      </c>
      <c r="N94" s="5" t="s">
        <v>23</v>
      </c>
      <c r="O94" s="7" t="s">
        <v>99</v>
      </c>
      <c r="P94" s="8"/>
      <c r="Q94" s="8"/>
      <c r="R94" s="8"/>
      <c r="S94" s="8"/>
      <c r="T94" s="8"/>
      <c r="U94" s="8"/>
      <c r="V94" s="8"/>
      <c r="W94" s="8"/>
      <c r="X94" s="8"/>
      <c r="Y94" s="8"/>
      <c r="Z94" s="8"/>
      <c r="AA94" s="8"/>
      <c r="AB94" s="8"/>
      <c r="AC94" s="8"/>
      <c r="AD94" s="8"/>
      <c r="AE94" s="8"/>
      <c r="AF94" s="8"/>
      <c r="AG94" s="8"/>
      <c r="AH94" s="8"/>
      <c r="AI94" s="8"/>
      <c r="AJ94" s="8"/>
      <c r="AK94" s="8"/>
      <c r="AL94" s="8"/>
      <c r="AM94" s="8"/>
      <c r="AN94" s="8"/>
    </row>
    <row r="95">
      <c r="A95" s="4"/>
      <c r="B95" s="5" t="s">
        <v>102</v>
      </c>
      <c r="C95" s="5">
        <v>2011.0</v>
      </c>
      <c r="D95" s="14">
        <v>40932.0</v>
      </c>
      <c r="E95" s="5" t="s">
        <v>17</v>
      </c>
      <c r="F95" s="5" t="s">
        <v>18</v>
      </c>
      <c r="G95" s="5" t="s">
        <v>28</v>
      </c>
      <c r="H95" s="5" t="s">
        <v>37</v>
      </c>
      <c r="I95" s="5" t="s">
        <v>35</v>
      </c>
      <c r="J95" s="5" t="s">
        <v>40</v>
      </c>
      <c r="K95" s="5" t="s">
        <v>41</v>
      </c>
      <c r="L95" s="5">
        <v>46.25</v>
      </c>
      <c r="M95" s="5">
        <v>46.28</v>
      </c>
      <c r="N95" s="5" t="s">
        <v>23</v>
      </c>
      <c r="O95" s="18"/>
      <c r="P95" s="5" t="s">
        <v>90</v>
      </c>
      <c r="Q95" s="8"/>
      <c r="R95" s="8"/>
      <c r="S95" s="8"/>
      <c r="T95" s="8"/>
      <c r="U95" s="8"/>
      <c r="V95" s="8"/>
      <c r="W95" s="8"/>
      <c r="X95" s="8"/>
      <c r="Y95" s="8"/>
      <c r="Z95" s="8"/>
      <c r="AA95" s="8"/>
      <c r="AB95" s="8"/>
      <c r="AC95" s="8"/>
      <c r="AD95" s="8"/>
      <c r="AE95" s="8"/>
      <c r="AF95" s="8"/>
      <c r="AG95" s="8"/>
      <c r="AH95" s="8"/>
      <c r="AI95" s="8"/>
      <c r="AJ95" s="8"/>
      <c r="AK95" s="8"/>
      <c r="AL95" s="8"/>
      <c r="AM95" s="8"/>
      <c r="AN95" s="8"/>
    </row>
    <row r="96">
      <c r="A96" s="4">
        <v>40857.0</v>
      </c>
      <c r="B96" s="5" t="s">
        <v>16</v>
      </c>
      <c r="C96" s="5">
        <v>2011.0</v>
      </c>
      <c r="D96" s="14">
        <v>40878.0</v>
      </c>
      <c r="E96" s="5" t="s">
        <v>17</v>
      </c>
      <c r="F96" s="5" t="s">
        <v>18</v>
      </c>
      <c r="G96" s="5" t="s">
        <v>19</v>
      </c>
      <c r="H96" s="5"/>
      <c r="I96" s="5" t="s">
        <v>35</v>
      </c>
      <c r="J96" s="5" t="s">
        <v>21</v>
      </c>
      <c r="K96" s="5" t="s">
        <v>73</v>
      </c>
      <c r="L96" s="5">
        <v>46.28</v>
      </c>
      <c r="M96" s="5">
        <v>47.405</v>
      </c>
      <c r="N96" s="5" t="s">
        <v>23</v>
      </c>
      <c r="O96" s="7" t="s">
        <v>97</v>
      </c>
      <c r="P96" s="8"/>
      <c r="Q96" s="8"/>
      <c r="R96" s="8"/>
      <c r="S96" s="8"/>
      <c r="T96" s="8"/>
      <c r="U96" s="8"/>
      <c r="V96" s="8"/>
      <c r="W96" s="8"/>
      <c r="X96" s="8"/>
      <c r="Y96" s="8"/>
      <c r="Z96" s="8"/>
      <c r="AA96" s="8"/>
      <c r="AB96" s="8"/>
      <c r="AC96" s="8"/>
      <c r="AD96" s="8"/>
      <c r="AE96" s="8"/>
      <c r="AF96" s="8"/>
      <c r="AG96" s="8"/>
      <c r="AH96" s="8"/>
      <c r="AI96" s="8"/>
      <c r="AJ96" s="8"/>
      <c r="AK96" s="8"/>
      <c r="AL96" s="8"/>
      <c r="AM96" s="8"/>
      <c r="AN96" s="8"/>
    </row>
    <row r="97">
      <c r="A97" s="4">
        <v>40549.0</v>
      </c>
      <c r="B97" s="5" t="s">
        <v>25</v>
      </c>
      <c r="C97" s="5">
        <v>2012.0</v>
      </c>
      <c r="D97" s="14">
        <v>40932.0</v>
      </c>
      <c r="E97" s="5" t="s">
        <v>17</v>
      </c>
      <c r="F97" s="5" t="s">
        <v>18</v>
      </c>
      <c r="G97" s="5" t="s">
        <v>28</v>
      </c>
      <c r="H97" s="5"/>
      <c r="I97" s="5" t="s">
        <v>35</v>
      </c>
      <c r="J97" s="5" t="s">
        <v>21</v>
      </c>
      <c r="K97" s="5" t="s">
        <v>73</v>
      </c>
      <c r="L97" s="5">
        <v>46.28</v>
      </c>
      <c r="M97" s="5">
        <v>47.405</v>
      </c>
      <c r="N97" s="5" t="s">
        <v>23</v>
      </c>
      <c r="O97" s="7" t="s">
        <v>103</v>
      </c>
      <c r="P97" s="8"/>
      <c r="Q97" s="8"/>
      <c r="R97" s="8"/>
      <c r="S97" s="8"/>
      <c r="T97" s="8"/>
      <c r="U97" s="8"/>
      <c r="V97" s="8"/>
      <c r="W97" s="8"/>
      <c r="X97" s="8"/>
      <c r="Y97" s="8"/>
      <c r="Z97" s="8"/>
      <c r="AA97" s="8"/>
      <c r="AB97" s="8"/>
      <c r="AC97" s="8"/>
      <c r="AD97" s="8"/>
      <c r="AE97" s="8"/>
      <c r="AF97" s="8"/>
      <c r="AG97" s="8"/>
      <c r="AH97" s="8"/>
      <c r="AI97" s="8"/>
      <c r="AJ97" s="8"/>
      <c r="AK97" s="8"/>
      <c r="AL97" s="8"/>
      <c r="AM97" s="8"/>
      <c r="AN97" s="8"/>
    </row>
    <row r="98">
      <c r="A98" s="4">
        <v>40857.0</v>
      </c>
      <c r="B98" s="5" t="s">
        <v>16</v>
      </c>
      <c r="C98" s="5">
        <v>2011.0</v>
      </c>
      <c r="D98" s="14">
        <v>40878.0</v>
      </c>
      <c r="E98" s="5" t="s">
        <v>17</v>
      </c>
      <c r="F98" s="5" t="s">
        <v>49</v>
      </c>
      <c r="G98" s="5" t="s">
        <v>19</v>
      </c>
      <c r="H98" s="5"/>
      <c r="I98" s="5" t="s">
        <v>35</v>
      </c>
      <c r="J98" s="5" t="s">
        <v>21</v>
      </c>
      <c r="K98" s="5" t="s">
        <v>60</v>
      </c>
      <c r="L98" s="5">
        <v>47.405</v>
      </c>
      <c r="M98" s="5">
        <v>48.43333</v>
      </c>
      <c r="N98" s="5" t="s">
        <v>23</v>
      </c>
      <c r="O98" s="7" t="s">
        <v>97</v>
      </c>
      <c r="P98" s="8"/>
      <c r="Q98" s="8"/>
      <c r="R98" s="8"/>
      <c r="S98" s="8"/>
      <c r="T98" s="8"/>
      <c r="U98" s="8"/>
      <c r="V98" s="8"/>
      <c r="W98" s="8"/>
      <c r="X98" s="8"/>
      <c r="Y98" s="8"/>
      <c r="Z98" s="8"/>
      <c r="AA98" s="8"/>
      <c r="AB98" s="8"/>
      <c r="AC98" s="8"/>
      <c r="AD98" s="8"/>
      <c r="AE98" s="8"/>
      <c r="AF98" s="8"/>
      <c r="AG98" s="8"/>
      <c r="AH98" s="8"/>
      <c r="AI98" s="8"/>
      <c r="AJ98" s="8"/>
      <c r="AK98" s="8"/>
      <c r="AL98" s="8"/>
      <c r="AM98" s="8"/>
      <c r="AN98" s="8"/>
    </row>
    <row r="99">
      <c r="A99" s="4">
        <v>40549.0</v>
      </c>
      <c r="B99" s="5" t="s">
        <v>25</v>
      </c>
      <c r="C99" s="5">
        <v>2012.0</v>
      </c>
      <c r="D99" s="14">
        <v>40932.0</v>
      </c>
      <c r="E99" s="5" t="s">
        <v>17</v>
      </c>
      <c r="F99" s="5" t="s">
        <v>18</v>
      </c>
      <c r="G99" s="5" t="s">
        <v>28</v>
      </c>
      <c r="H99" s="5"/>
      <c r="I99" s="5" t="s">
        <v>35</v>
      </c>
      <c r="J99" s="5" t="s">
        <v>21</v>
      </c>
      <c r="K99" s="5" t="s">
        <v>60</v>
      </c>
      <c r="L99" s="5">
        <v>47.405</v>
      </c>
      <c r="M99" s="5">
        <v>48.43333</v>
      </c>
      <c r="N99" s="5" t="s">
        <v>23</v>
      </c>
      <c r="O99" s="10" t="s">
        <v>103</v>
      </c>
      <c r="P99" s="8"/>
      <c r="Q99" s="8"/>
      <c r="R99" s="8"/>
      <c r="S99" s="8"/>
      <c r="T99" s="8"/>
      <c r="U99" s="8"/>
      <c r="V99" s="8"/>
      <c r="W99" s="8"/>
      <c r="X99" s="8"/>
      <c r="Y99" s="8"/>
      <c r="Z99" s="8"/>
      <c r="AA99" s="8"/>
      <c r="AB99" s="8"/>
      <c r="AC99" s="8"/>
      <c r="AD99" s="8"/>
      <c r="AE99" s="8"/>
      <c r="AF99" s="8"/>
      <c r="AG99" s="8"/>
      <c r="AH99" s="8"/>
      <c r="AI99" s="8"/>
      <c r="AJ99" s="8"/>
      <c r="AK99" s="8"/>
      <c r="AL99" s="8"/>
      <c r="AM99" s="8"/>
      <c r="AN99" s="8"/>
    </row>
    <row r="100">
      <c r="A100" s="4">
        <v>40914.0</v>
      </c>
      <c r="B100" s="5" t="s">
        <v>25</v>
      </c>
      <c r="C100" s="5">
        <v>2012.0</v>
      </c>
      <c r="D100" s="14">
        <v>40932.0</v>
      </c>
      <c r="E100" s="5" t="s">
        <v>17</v>
      </c>
      <c r="F100" s="5" t="s">
        <v>18</v>
      </c>
      <c r="G100" s="5" t="s">
        <v>19</v>
      </c>
      <c r="H100" s="5"/>
      <c r="I100" s="5" t="s">
        <v>62</v>
      </c>
      <c r="J100" s="5" t="s">
        <v>21</v>
      </c>
      <c r="K100" s="5" t="s">
        <v>63</v>
      </c>
      <c r="L100" s="5">
        <v>47.08</v>
      </c>
      <c r="M100" s="5">
        <v>47.28</v>
      </c>
      <c r="N100" s="5" t="s">
        <v>23</v>
      </c>
      <c r="O100" s="10" t="s">
        <v>103</v>
      </c>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row>
    <row r="101">
      <c r="A101" s="4">
        <v>40914.0</v>
      </c>
      <c r="B101" s="5" t="s">
        <v>25</v>
      </c>
      <c r="C101" s="5">
        <v>2012.0</v>
      </c>
      <c r="D101" s="6">
        <v>41061.0</v>
      </c>
      <c r="E101" s="5" t="s">
        <v>17</v>
      </c>
      <c r="F101" s="5" t="s">
        <v>18</v>
      </c>
      <c r="G101" s="5" t="s">
        <v>28</v>
      </c>
      <c r="H101" s="5"/>
      <c r="I101" s="5" t="s">
        <v>62</v>
      </c>
      <c r="J101" s="5" t="s">
        <v>21</v>
      </c>
      <c r="K101" s="5" t="s">
        <v>63</v>
      </c>
      <c r="L101" s="5">
        <v>47.08</v>
      </c>
      <c r="M101" s="5">
        <v>47.28</v>
      </c>
      <c r="N101" s="5" t="s">
        <v>23</v>
      </c>
      <c r="O101" s="10" t="s">
        <v>103</v>
      </c>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row>
    <row r="102">
      <c r="A102" s="4">
        <v>40914.0</v>
      </c>
      <c r="B102" s="5" t="s">
        <v>25</v>
      </c>
      <c r="C102" s="5">
        <v>2012.0</v>
      </c>
      <c r="D102" s="6">
        <v>40932.0</v>
      </c>
      <c r="E102" s="5" t="s">
        <v>17</v>
      </c>
      <c r="F102" s="5" t="s">
        <v>18</v>
      </c>
      <c r="G102" s="5" t="s">
        <v>19</v>
      </c>
      <c r="H102" s="5"/>
      <c r="I102" s="5" t="s">
        <v>62</v>
      </c>
      <c r="J102" s="5" t="s">
        <v>21</v>
      </c>
      <c r="K102" s="5" t="s">
        <v>87</v>
      </c>
      <c r="L102" s="5">
        <v>47.08</v>
      </c>
      <c r="M102" s="5">
        <v>47.245</v>
      </c>
      <c r="N102" s="5" t="s">
        <v>23</v>
      </c>
      <c r="O102" s="10" t="s">
        <v>103</v>
      </c>
      <c r="P102" s="5"/>
      <c r="Q102" s="8"/>
      <c r="R102" s="8"/>
      <c r="S102" s="8"/>
      <c r="T102" s="8"/>
      <c r="U102" s="8"/>
      <c r="V102" s="8"/>
      <c r="W102" s="8"/>
      <c r="X102" s="8"/>
      <c r="Y102" s="8"/>
      <c r="Z102" s="8"/>
      <c r="AA102" s="8"/>
      <c r="AB102" s="8"/>
      <c r="AC102" s="8"/>
      <c r="AD102" s="8"/>
      <c r="AE102" s="8"/>
      <c r="AF102" s="8"/>
      <c r="AG102" s="8"/>
      <c r="AH102" s="8"/>
      <c r="AI102" s="8"/>
      <c r="AJ102" s="8"/>
      <c r="AK102" s="8"/>
      <c r="AL102" s="8"/>
      <c r="AM102" s="8"/>
      <c r="AN102" s="8"/>
    </row>
    <row r="103">
      <c r="A103" s="4">
        <v>41043.0</v>
      </c>
      <c r="B103" s="5" t="s">
        <v>25</v>
      </c>
      <c r="C103" s="5">
        <v>2012.0</v>
      </c>
      <c r="D103" s="6">
        <v>41061.0</v>
      </c>
      <c r="E103" s="5" t="s">
        <v>17</v>
      </c>
      <c r="F103" s="5" t="s">
        <v>18</v>
      </c>
      <c r="G103" s="5" t="s">
        <v>19</v>
      </c>
      <c r="H103" s="5"/>
      <c r="I103" s="5" t="s">
        <v>62</v>
      </c>
      <c r="J103" s="5" t="s">
        <v>40</v>
      </c>
      <c r="K103" s="5" t="s">
        <v>85</v>
      </c>
      <c r="L103" s="5">
        <v>47.245</v>
      </c>
      <c r="M103" s="5">
        <v>47.28</v>
      </c>
      <c r="N103" s="5" t="s">
        <v>23</v>
      </c>
      <c r="O103" s="7" t="s">
        <v>104</v>
      </c>
      <c r="P103" s="5"/>
      <c r="Q103" s="8"/>
      <c r="R103" s="8"/>
      <c r="S103" s="8"/>
      <c r="T103" s="8"/>
      <c r="U103" s="8"/>
      <c r="V103" s="8"/>
      <c r="W103" s="8"/>
      <c r="X103" s="8"/>
      <c r="Y103" s="8"/>
      <c r="Z103" s="8"/>
      <c r="AA103" s="8"/>
      <c r="AB103" s="8"/>
      <c r="AC103" s="8"/>
      <c r="AD103" s="8"/>
      <c r="AE103" s="8"/>
      <c r="AF103" s="8"/>
      <c r="AG103" s="8"/>
      <c r="AH103" s="8"/>
      <c r="AI103" s="8"/>
      <c r="AJ103" s="8"/>
      <c r="AK103" s="8"/>
      <c r="AL103" s="8"/>
      <c r="AM103" s="8"/>
      <c r="AN103" s="8"/>
    </row>
    <row r="104">
      <c r="A104" s="4">
        <v>41043.0</v>
      </c>
      <c r="B104" s="5" t="s">
        <v>25</v>
      </c>
      <c r="C104" s="5">
        <v>2012.0</v>
      </c>
      <c r="D104" s="6">
        <v>41091.0</v>
      </c>
      <c r="E104" s="5" t="s">
        <v>17</v>
      </c>
      <c r="F104" s="5" t="s">
        <v>18</v>
      </c>
      <c r="G104" s="5" t="s">
        <v>28</v>
      </c>
      <c r="H104" s="5"/>
      <c r="I104" s="5" t="s">
        <v>62</v>
      </c>
      <c r="J104" s="5" t="s">
        <v>40</v>
      </c>
      <c r="K104" s="5" t="s">
        <v>85</v>
      </c>
      <c r="L104" s="5">
        <v>47.245</v>
      </c>
      <c r="M104" s="5">
        <v>47.28</v>
      </c>
      <c r="N104" s="5" t="s">
        <v>23</v>
      </c>
      <c r="O104" s="7" t="s">
        <v>104</v>
      </c>
      <c r="P104" s="5"/>
      <c r="Q104" s="8"/>
      <c r="R104" s="8"/>
      <c r="S104" s="8"/>
      <c r="T104" s="8"/>
      <c r="U104" s="8"/>
      <c r="V104" s="8"/>
      <c r="W104" s="8"/>
      <c r="X104" s="8"/>
      <c r="Y104" s="8"/>
      <c r="Z104" s="8"/>
      <c r="AA104" s="8"/>
      <c r="AB104" s="8"/>
      <c r="AC104" s="8"/>
      <c r="AD104" s="8"/>
      <c r="AE104" s="8"/>
      <c r="AF104" s="8"/>
      <c r="AG104" s="8"/>
      <c r="AH104" s="8"/>
      <c r="AI104" s="8"/>
      <c r="AJ104" s="8"/>
      <c r="AK104" s="8"/>
      <c r="AL104" s="8"/>
      <c r="AM104" s="8"/>
      <c r="AN104" s="8"/>
    </row>
    <row r="105">
      <c r="A105" s="4">
        <v>40914.0</v>
      </c>
      <c r="B105" s="5" t="s">
        <v>25</v>
      </c>
      <c r="C105" s="5">
        <v>2012.0</v>
      </c>
      <c r="D105" s="6">
        <v>40932.0</v>
      </c>
      <c r="E105" s="5" t="s">
        <v>17</v>
      </c>
      <c r="F105" s="5" t="s">
        <v>18</v>
      </c>
      <c r="G105" s="5" t="s">
        <v>19</v>
      </c>
      <c r="H105" s="5"/>
      <c r="I105" s="5" t="s">
        <v>62</v>
      </c>
      <c r="J105" s="5" t="s">
        <v>21</v>
      </c>
      <c r="K105" s="5" t="s">
        <v>69</v>
      </c>
      <c r="L105" s="5">
        <v>47.405</v>
      </c>
      <c r="M105" s="5">
        <v>47.58</v>
      </c>
      <c r="N105" s="5" t="s">
        <v>23</v>
      </c>
      <c r="O105" s="10" t="s">
        <v>103</v>
      </c>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row>
    <row r="106">
      <c r="A106" s="4">
        <v>41043.0</v>
      </c>
      <c r="B106" s="5" t="s">
        <v>25</v>
      </c>
      <c r="C106" s="5">
        <v>2012.0</v>
      </c>
      <c r="D106" s="6">
        <v>41030.0</v>
      </c>
      <c r="E106" s="5" t="s">
        <v>17</v>
      </c>
      <c r="F106" s="5" t="s">
        <v>18</v>
      </c>
      <c r="G106" s="5" t="s">
        <v>19</v>
      </c>
      <c r="H106" s="5"/>
      <c r="I106" s="5" t="s">
        <v>62</v>
      </c>
      <c r="J106" s="5" t="s">
        <v>40</v>
      </c>
      <c r="K106" s="5" t="s">
        <v>69</v>
      </c>
      <c r="L106" s="5">
        <v>47.405</v>
      </c>
      <c r="M106" s="5">
        <v>47.58</v>
      </c>
      <c r="N106" s="5" t="s">
        <v>23</v>
      </c>
      <c r="O106" s="7" t="s">
        <v>104</v>
      </c>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row>
    <row r="107">
      <c r="A107" s="4">
        <v>41043.0</v>
      </c>
      <c r="B107" s="5" t="s">
        <v>25</v>
      </c>
      <c r="C107" s="5">
        <v>2012.0</v>
      </c>
      <c r="D107" s="6">
        <v>41061.0</v>
      </c>
      <c r="E107" s="5" t="s">
        <v>17</v>
      </c>
      <c r="F107" s="5" t="s">
        <v>18</v>
      </c>
      <c r="G107" s="5" t="s">
        <v>28</v>
      </c>
      <c r="H107" s="5"/>
      <c r="I107" s="5" t="s">
        <v>62</v>
      </c>
      <c r="J107" s="5" t="s">
        <v>40</v>
      </c>
      <c r="K107" s="5" t="s">
        <v>69</v>
      </c>
      <c r="L107" s="5">
        <v>47.405</v>
      </c>
      <c r="M107" s="5">
        <v>47.58</v>
      </c>
      <c r="N107" s="5" t="s">
        <v>23</v>
      </c>
      <c r="O107" s="7" t="s">
        <v>104</v>
      </c>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row>
    <row r="108">
      <c r="A108" s="4">
        <v>40914.0</v>
      </c>
      <c r="B108" s="5" t="s">
        <v>25</v>
      </c>
      <c r="C108" s="5">
        <v>2012.0</v>
      </c>
      <c r="D108" s="6">
        <v>40932.0</v>
      </c>
      <c r="E108" s="5" t="s">
        <v>17</v>
      </c>
      <c r="F108" s="5" t="s">
        <v>18</v>
      </c>
      <c r="G108" s="5" t="s">
        <v>19</v>
      </c>
      <c r="H108" s="5"/>
      <c r="I108" s="5" t="s">
        <v>62</v>
      </c>
      <c r="J108" s="5" t="s">
        <v>21</v>
      </c>
      <c r="K108" s="5" t="s">
        <v>70</v>
      </c>
      <c r="L108" s="5">
        <v>48.02</v>
      </c>
      <c r="M108" s="5">
        <v>48.195</v>
      </c>
      <c r="N108" s="5" t="s">
        <v>23</v>
      </c>
      <c r="O108" s="10" t="s">
        <v>103</v>
      </c>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row>
    <row r="109">
      <c r="A109" s="4">
        <v>40914.0</v>
      </c>
      <c r="B109" s="5" t="s">
        <v>25</v>
      </c>
      <c r="C109" s="5">
        <v>2012.0</v>
      </c>
      <c r="D109" s="6">
        <v>40962.0</v>
      </c>
      <c r="E109" s="5" t="s">
        <v>17</v>
      </c>
      <c r="F109" s="5" t="s">
        <v>18</v>
      </c>
      <c r="G109" s="5" t="s">
        <v>19</v>
      </c>
      <c r="H109" s="5"/>
      <c r="I109" s="5" t="s">
        <v>62</v>
      </c>
      <c r="J109" s="5" t="s">
        <v>40</v>
      </c>
      <c r="K109" s="5" t="s">
        <v>70</v>
      </c>
      <c r="L109" s="5">
        <v>48.02</v>
      </c>
      <c r="M109" s="5">
        <v>48.195</v>
      </c>
      <c r="N109" s="5" t="s">
        <v>23</v>
      </c>
      <c r="O109" s="10" t="s">
        <v>103</v>
      </c>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row>
    <row r="110">
      <c r="A110" s="4">
        <v>40914.0</v>
      </c>
      <c r="B110" s="5" t="s">
        <v>25</v>
      </c>
      <c r="C110" s="5">
        <v>2012.0</v>
      </c>
      <c r="D110" s="6">
        <v>40993.0</v>
      </c>
      <c r="E110" s="5" t="s">
        <v>17</v>
      </c>
      <c r="F110" s="5" t="s">
        <v>18</v>
      </c>
      <c r="G110" s="5" t="s">
        <v>28</v>
      </c>
      <c r="H110" s="5" t="s">
        <v>37</v>
      </c>
      <c r="I110" s="5" t="s">
        <v>62</v>
      </c>
      <c r="J110" s="5" t="s">
        <v>40</v>
      </c>
      <c r="K110" s="5" t="s">
        <v>70</v>
      </c>
      <c r="L110" s="5">
        <v>48.02</v>
      </c>
      <c r="M110" s="5">
        <v>48.195</v>
      </c>
      <c r="N110" s="5" t="s">
        <v>23</v>
      </c>
      <c r="O110" s="10" t="s">
        <v>103</v>
      </c>
      <c r="P110" s="5" t="s">
        <v>105</v>
      </c>
      <c r="Q110" s="8"/>
      <c r="R110" s="8"/>
      <c r="S110" s="8"/>
      <c r="T110" s="8"/>
      <c r="U110" s="8"/>
      <c r="V110" s="8"/>
      <c r="W110" s="8"/>
      <c r="X110" s="8"/>
      <c r="Y110" s="8"/>
      <c r="Z110" s="8"/>
      <c r="AA110" s="8"/>
      <c r="AB110" s="8"/>
      <c r="AC110" s="8"/>
      <c r="AD110" s="8"/>
      <c r="AE110" s="8"/>
      <c r="AF110" s="8"/>
      <c r="AG110" s="8"/>
      <c r="AH110" s="8"/>
      <c r="AI110" s="8"/>
      <c r="AJ110" s="8"/>
      <c r="AK110" s="8"/>
      <c r="AL110" s="8"/>
      <c r="AM110" s="8"/>
      <c r="AN110" s="8"/>
    </row>
    <row r="111">
      <c r="A111" s="4">
        <v>41226.0</v>
      </c>
      <c r="B111" s="5" t="s">
        <v>25</v>
      </c>
      <c r="C111" s="5">
        <v>2012.0</v>
      </c>
      <c r="D111" s="6">
        <v>41244.0</v>
      </c>
      <c r="E111" s="5" t="s">
        <v>17</v>
      </c>
      <c r="F111" s="5" t="s">
        <v>18</v>
      </c>
      <c r="G111" s="5" t="s">
        <v>19</v>
      </c>
      <c r="H111" s="5"/>
      <c r="I111" s="5" t="s">
        <v>20</v>
      </c>
      <c r="J111" s="5" t="s">
        <v>21</v>
      </c>
      <c r="K111" s="5" t="s">
        <v>106</v>
      </c>
      <c r="L111" s="5">
        <v>38.7666488</v>
      </c>
      <c r="M111" s="5">
        <v>48.43333</v>
      </c>
      <c r="N111" s="5" t="s">
        <v>23</v>
      </c>
      <c r="O111" s="10" t="s">
        <v>107</v>
      </c>
      <c r="P111" s="8"/>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row>
    <row r="112">
      <c r="A112" s="4">
        <v>41253.0</v>
      </c>
      <c r="B112" s="5" t="s">
        <v>16</v>
      </c>
      <c r="C112" s="5">
        <v>2012.0</v>
      </c>
      <c r="D112" s="14">
        <v>41274.0</v>
      </c>
      <c r="E112" s="5" t="s">
        <v>17</v>
      </c>
      <c r="F112" s="5" t="s">
        <v>18</v>
      </c>
      <c r="G112" s="5" t="s">
        <v>28</v>
      </c>
      <c r="H112" s="5"/>
      <c r="I112" s="5" t="s">
        <v>20</v>
      </c>
      <c r="J112" s="5" t="s">
        <v>21</v>
      </c>
      <c r="K112" s="5" t="s">
        <v>38</v>
      </c>
      <c r="L112" s="9">
        <v>42.0</v>
      </c>
      <c r="M112" s="5">
        <v>46.25</v>
      </c>
      <c r="N112" s="5" t="s">
        <v>23</v>
      </c>
      <c r="O112" s="10" t="s">
        <v>108</v>
      </c>
      <c r="P112" s="8"/>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row>
    <row r="113">
      <c r="A113" s="4">
        <v>41263.0</v>
      </c>
      <c r="B113" s="5" t="s">
        <v>48</v>
      </c>
      <c r="C113" s="5">
        <v>2012.0</v>
      </c>
      <c r="D113" s="14">
        <v>41289.0</v>
      </c>
      <c r="E113" s="5" t="s">
        <v>17</v>
      </c>
      <c r="F113" s="5" t="s">
        <v>18</v>
      </c>
      <c r="G113" s="5" t="s">
        <v>28</v>
      </c>
      <c r="H113" s="5"/>
      <c r="I113" s="5" t="s">
        <v>20</v>
      </c>
      <c r="J113" s="5" t="s">
        <v>21</v>
      </c>
      <c r="K113" s="5" t="s">
        <v>58</v>
      </c>
      <c r="L113" s="5">
        <v>38.7666488</v>
      </c>
      <c r="M113" s="5">
        <v>42.0</v>
      </c>
      <c r="N113" s="5" t="s">
        <v>23</v>
      </c>
      <c r="O113" s="7" t="s">
        <v>109</v>
      </c>
      <c r="P113" s="8"/>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row>
    <row r="114">
      <c r="A114" s="4">
        <v>41253.0</v>
      </c>
      <c r="B114" s="5" t="s">
        <v>25</v>
      </c>
      <c r="C114" s="5">
        <v>2012.0</v>
      </c>
      <c r="D114" s="14">
        <v>41274.0</v>
      </c>
      <c r="E114" s="5" t="s">
        <v>17</v>
      </c>
      <c r="F114" s="5" t="s">
        <v>18</v>
      </c>
      <c r="G114" s="5" t="s">
        <v>19</v>
      </c>
      <c r="H114" s="5"/>
      <c r="I114" s="5" t="s">
        <v>35</v>
      </c>
      <c r="J114" s="5" t="s">
        <v>40</v>
      </c>
      <c r="K114" s="5" t="s">
        <v>41</v>
      </c>
      <c r="L114" s="5">
        <v>46.25</v>
      </c>
      <c r="M114" s="5">
        <v>46.28</v>
      </c>
      <c r="N114" s="5" t="s">
        <v>23</v>
      </c>
      <c r="O114" s="10" t="s">
        <v>110</v>
      </c>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row>
    <row r="115">
      <c r="A115" s="4"/>
      <c r="B115" s="5" t="s">
        <v>102</v>
      </c>
      <c r="C115" s="5">
        <v>2012.0</v>
      </c>
      <c r="D115" s="14">
        <v>41298.0</v>
      </c>
      <c r="E115" s="5" t="s">
        <v>17</v>
      </c>
      <c r="F115" s="5" t="s">
        <v>18</v>
      </c>
      <c r="G115" s="5" t="s">
        <v>28</v>
      </c>
      <c r="H115" s="5" t="s">
        <v>37</v>
      </c>
      <c r="I115" s="5" t="s">
        <v>35</v>
      </c>
      <c r="J115" s="5" t="s">
        <v>40</v>
      </c>
      <c r="K115" s="5" t="s">
        <v>41</v>
      </c>
      <c r="L115" s="5">
        <v>46.25</v>
      </c>
      <c r="M115" s="5">
        <v>46.28</v>
      </c>
      <c r="N115" s="5" t="s">
        <v>23</v>
      </c>
      <c r="O115" s="8"/>
      <c r="P115" s="5" t="s">
        <v>90</v>
      </c>
      <c r="Q115" s="8"/>
      <c r="R115" s="8"/>
      <c r="S115" s="8"/>
      <c r="T115" s="8"/>
      <c r="U115" s="8"/>
      <c r="V115" s="8"/>
      <c r="W115" s="8"/>
      <c r="X115" s="8"/>
      <c r="Y115" s="8"/>
      <c r="Z115" s="8"/>
      <c r="AA115" s="8"/>
      <c r="AB115" s="8"/>
      <c r="AC115" s="8"/>
      <c r="AD115" s="8"/>
      <c r="AE115" s="8"/>
      <c r="AF115" s="8"/>
      <c r="AG115" s="8"/>
      <c r="AH115" s="8"/>
      <c r="AI115" s="8"/>
      <c r="AJ115" s="8"/>
      <c r="AK115" s="8"/>
      <c r="AL115" s="8"/>
      <c r="AM115" s="8"/>
      <c r="AN115" s="8"/>
    </row>
    <row r="116">
      <c r="A116" s="4">
        <v>41264.0</v>
      </c>
      <c r="B116" s="5" t="s">
        <v>25</v>
      </c>
      <c r="C116" s="5">
        <v>2013.0</v>
      </c>
      <c r="D116" s="6">
        <v>41298.0</v>
      </c>
      <c r="E116" s="5" t="s">
        <v>17</v>
      </c>
      <c r="F116" s="5" t="s">
        <v>18</v>
      </c>
      <c r="G116" s="5" t="s">
        <v>28</v>
      </c>
      <c r="H116" s="5"/>
      <c r="I116" s="5" t="s">
        <v>20</v>
      </c>
      <c r="J116" s="5" t="s">
        <v>21</v>
      </c>
      <c r="K116" s="5" t="s">
        <v>73</v>
      </c>
      <c r="L116" s="5">
        <v>46.28</v>
      </c>
      <c r="M116" s="5">
        <v>47.405</v>
      </c>
      <c r="N116" s="5" t="s">
        <v>23</v>
      </c>
      <c r="O116" s="7" t="s">
        <v>111</v>
      </c>
      <c r="P116" s="5" t="s">
        <v>112</v>
      </c>
      <c r="Q116" s="8"/>
      <c r="R116" s="8"/>
      <c r="S116" s="8"/>
      <c r="T116" s="8"/>
      <c r="U116" s="8"/>
      <c r="V116" s="8"/>
      <c r="W116" s="8"/>
      <c r="X116" s="8"/>
      <c r="Y116" s="8"/>
      <c r="Z116" s="8"/>
      <c r="AA116" s="8"/>
      <c r="AB116" s="8"/>
      <c r="AC116" s="8"/>
      <c r="AD116" s="8"/>
      <c r="AE116" s="8"/>
      <c r="AF116" s="8"/>
      <c r="AG116" s="8"/>
      <c r="AH116" s="8"/>
      <c r="AI116" s="8"/>
      <c r="AJ116" s="8"/>
      <c r="AK116" s="8"/>
      <c r="AL116" s="8"/>
      <c r="AM116" s="8"/>
      <c r="AN116" s="8"/>
    </row>
    <row r="117">
      <c r="A117" s="4">
        <v>40918.0</v>
      </c>
      <c r="B117" s="5" t="s">
        <v>25</v>
      </c>
      <c r="C117" s="5">
        <v>2013.0</v>
      </c>
      <c r="D117" s="6">
        <v>41298.0</v>
      </c>
      <c r="E117" s="5" t="s">
        <v>17</v>
      </c>
      <c r="F117" s="5" t="s">
        <v>18</v>
      </c>
      <c r="G117" s="5" t="s">
        <v>28</v>
      </c>
      <c r="H117" s="8"/>
      <c r="I117" s="5" t="s">
        <v>20</v>
      </c>
      <c r="J117" s="5" t="s">
        <v>21</v>
      </c>
      <c r="K117" s="5" t="s">
        <v>60</v>
      </c>
      <c r="L117" s="5">
        <v>47.405</v>
      </c>
      <c r="M117" s="5">
        <v>48.43333</v>
      </c>
      <c r="N117" s="5" t="s">
        <v>23</v>
      </c>
      <c r="O117" s="7" t="s">
        <v>113</v>
      </c>
      <c r="P117" s="5" t="s">
        <v>114</v>
      </c>
      <c r="Q117" s="8"/>
      <c r="R117" s="8"/>
      <c r="S117" s="8"/>
      <c r="T117" s="8"/>
      <c r="U117" s="8"/>
      <c r="V117" s="8"/>
      <c r="W117" s="8"/>
      <c r="X117" s="8"/>
      <c r="Y117" s="8"/>
      <c r="Z117" s="8"/>
      <c r="AA117" s="8"/>
      <c r="AB117" s="8"/>
      <c r="AC117" s="8"/>
      <c r="AD117" s="8"/>
      <c r="AE117" s="8"/>
      <c r="AF117" s="8"/>
      <c r="AG117" s="8"/>
      <c r="AH117" s="8"/>
      <c r="AI117" s="8"/>
      <c r="AJ117" s="8"/>
      <c r="AK117" s="8"/>
      <c r="AL117" s="8"/>
      <c r="AM117" s="8"/>
      <c r="AN117" s="8"/>
    </row>
    <row r="118">
      <c r="A118" s="4">
        <v>41284.0</v>
      </c>
      <c r="B118" s="5" t="s">
        <v>25</v>
      </c>
      <c r="C118" s="5">
        <v>2013.0</v>
      </c>
      <c r="D118" s="6">
        <v>41295.0</v>
      </c>
      <c r="E118" s="5" t="s">
        <v>17</v>
      </c>
      <c r="F118" s="5" t="s">
        <v>18</v>
      </c>
      <c r="G118" s="5" t="s">
        <v>19</v>
      </c>
      <c r="H118" s="5"/>
      <c r="I118" s="5" t="s">
        <v>62</v>
      </c>
      <c r="J118" s="5" t="s">
        <v>21</v>
      </c>
      <c r="K118" s="5" t="s">
        <v>63</v>
      </c>
      <c r="L118" s="5">
        <v>47.08</v>
      </c>
      <c r="M118" s="5">
        <v>47.28</v>
      </c>
      <c r="N118" s="5" t="s">
        <v>23</v>
      </c>
      <c r="O118" s="7" t="s">
        <v>113</v>
      </c>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row>
    <row r="119">
      <c r="A119" s="4">
        <v>41284.0</v>
      </c>
      <c r="B119" s="5" t="s">
        <v>25</v>
      </c>
      <c r="C119" s="5">
        <v>2013.0</v>
      </c>
      <c r="D119" s="6">
        <v>41395.0</v>
      </c>
      <c r="E119" s="5" t="s">
        <v>17</v>
      </c>
      <c r="F119" s="5" t="s">
        <v>18</v>
      </c>
      <c r="G119" s="5" t="s">
        <v>28</v>
      </c>
      <c r="H119" s="5"/>
      <c r="I119" s="5" t="s">
        <v>62</v>
      </c>
      <c r="J119" s="5" t="s">
        <v>21</v>
      </c>
      <c r="K119" s="5" t="s">
        <v>85</v>
      </c>
      <c r="L119" s="5">
        <v>47.245</v>
      </c>
      <c r="M119" s="5">
        <v>47.28</v>
      </c>
      <c r="N119" s="5" t="s">
        <v>23</v>
      </c>
      <c r="O119" s="7" t="s">
        <v>113</v>
      </c>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row>
    <row r="120">
      <c r="A120" s="4">
        <v>41284.0</v>
      </c>
      <c r="B120" s="5" t="s">
        <v>25</v>
      </c>
      <c r="C120" s="5">
        <v>2013.0</v>
      </c>
      <c r="D120" s="6">
        <v>41295.0</v>
      </c>
      <c r="E120" s="5" t="s">
        <v>17</v>
      </c>
      <c r="F120" s="5" t="s">
        <v>18</v>
      </c>
      <c r="G120" s="5" t="s">
        <v>19</v>
      </c>
      <c r="H120" s="5"/>
      <c r="I120" s="5" t="s">
        <v>62</v>
      </c>
      <c r="J120" s="5" t="s">
        <v>21</v>
      </c>
      <c r="K120" s="5" t="s">
        <v>69</v>
      </c>
      <c r="L120" s="5">
        <v>47.405</v>
      </c>
      <c r="M120" s="5">
        <v>47.58</v>
      </c>
      <c r="N120" s="5" t="s">
        <v>23</v>
      </c>
      <c r="O120" s="7" t="s">
        <v>113</v>
      </c>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row>
    <row r="121">
      <c r="A121" s="4">
        <v>41284.0</v>
      </c>
      <c r="B121" s="5" t="s">
        <v>25</v>
      </c>
      <c r="C121" s="5">
        <v>2013.0</v>
      </c>
      <c r="D121" s="6">
        <v>41395.0</v>
      </c>
      <c r="E121" s="5" t="s">
        <v>17</v>
      </c>
      <c r="F121" s="5" t="s">
        <v>18</v>
      </c>
      <c r="G121" s="5" t="s">
        <v>19</v>
      </c>
      <c r="H121" s="5"/>
      <c r="I121" s="5" t="s">
        <v>62</v>
      </c>
      <c r="J121" s="5" t="s">
        <v>40</v>
      </c>
      <c r="K121" s="5" t="s">
        <v>69</v>
      </c>
      <c r="L121" s="5">
        <v>47.405</v>
      </c>
      <c r="M121" s="5">
        <v>47.58</v>
      </c>
      <c r="N121" s="5" t="s">
        <v>23</v>
      </c>
      <c r="O121" s="7" t="s">
        <v>113</v>
      </c>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row>
    <row r="122">
      <c r="A122" s="4">
        <v>41284.0</v>
      </c>
      <c r="B122" s="5" t="s">
        <v>25</v>
      </c>
      <c r="C122" s="5">
        <v>2013.0</v>
      </c>
      <c r="D122" s="6">
        <v>41426.0</v>
      </c>
      <c r="E122" s="5" t="s">
        <v>17</v>
      </c>
      <c r="F122" s="5" t="s">
        <v>18</v>
      </c>
      <c r="G122" s="5" t="s">
        <v>28</v>
      </c>
      <c r="H122" s="5"/>
      <c r="I122" s="5" t="s">
        <v>62</v>
      </c>
      <c r="J122" s="5" t="s">
        <v>40</v>
      </c>
      <c r="K122" s="5" t="s">
        <v>69</v>
      </c>
      <c r="L122" s="5">
        <v>47.405</v>
      </c>
      <c r="M122" s="5">
        <v>47.58</v>
      </c>
      <c r="N122" s="5" t="s">
        <v>23</v>
      </c>
      <c r="O122" s="7" t="s">
        <v>113</v>
      </c>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row>
    <row r="123">
      <c r="A123" s="4">
        <v>41284.0</v>
      </c>
      <c r="B123" s="5" t="s">
        <v>25</v>
      </c>
      <c r="C123" s="5">
        <v>2013.0</v>
      </c>
      <c r="D123" s="6">
        <v>41295.0</v>
      </c>
      <c r="E123" s="5" t="s">
        <v>17</v>
      </c>
      <c r="F123" s="5" t="s">
        <v>18</v>
      </c>
      <c r="G123" s="5" t="s">
        <v>19</v>
      </c>
      <c r="H123" s="5"/>
      <c r="I123" s="5" t="s">
        <v>62</v>
      </c>
      <c r="J123" s="5" t="s">
        <v>21</v>
      </c>
      <c r="K123" s="5" t="s">
        <v>70</v>
      </c>
      <c r="L123" s="5">
        <v>48.02</v>
      </c>
      <c r="M123" s="5">
        <v>48.195</v>
      </c>
      <c r="N123" s="5" t="s">
        <v>23</v>
      </c>
      <c r="O123" s="7" t="s">
        <v>113</v>
      </c>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row>
    <row r="124">
      <c r="A124" s="4">
        <v>41284.0</v>
      </c>
      <c r="B124" s="5" t="s">
        <v>25</v>
      </c>
      <c r="C124" s="5">
        <v>2013.0</v>
      </c>
      <c r="D124" s="6">
        <v>41328.0</v>
      </c>
      <c r="E124" s="5" t="s">
        <v>17</v>
      </c>
      <c r="F124" s="5" t="s">
        <v>18</v>
      </c>
      <c r="G124" s="5" t="s">
        <v>19</v>
      </c>
      <c r="H124" s="5"/>
      <c r="I124" s="5" t="s">
        <v>62</v>
      </c>
      <c r="J124" s="5" t="s">
        <v>40</v>
      </c>
      <c r="K124" s="5" t="s">
        <v>70</v>
      </c>
      <c r="L124" s="5">
        <v>48.02</v>
      </c>
      <c r="M124" s="5">
        <v>48.195</v>
      </c>
      <c r="N124" s="5" t="s">
        <v>23</v>
      </c>
      <c r="O124" s="7" t="s">
        <v>113</v>
      </c>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row>
    <row r="125">
      <c r="A125" s="4">
        <v>41284.0</v>
      </c>
      <c r="B125" s="5" t="s">
        <v>25</v>
      </c>
      <c r="C125" s="5">
        <v>2013.0</v>
      </c>
      <c r="D125" s="6">
        <v>41358.0</v>
      </c>
      <c r="E125" s="5" t="s">
        <v>17</v>
      </c>
      <c r="F125" s="5" t="s">
        <v>18</v>
      </c>
      <c r="G125" s="5" t="s">
        <v>28</v>
      </c>
      <c r="H125" s="5" t="s">
        <v>37</v>
      </c>
      <c r="I125" s="5" t="s">
        <v>62</v>
      </c>
      <c r="J125" s="5" t="s">
        <v>40</v>
      </c>
      <c r="K125" s="5" t="s">
        <v>70</v>
      </c>
      <c r="L125" s="5">
        <v>48.02</v>
      </c>
      <c r="M125" s="5">
        <v>48.195</v>
      </c>
      <c r="N125" s="5" t="s">
        <v>23</v>
      </c>
      <c r="O125" s="7" t="s">
        <v>113</v>
      </c>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row>
    <row r="126">
      <c r="A126" s="4">
        <v>41456.0</v>
      </c>
      <c r="B126" s="5" t="s">
        <v>57</v>
      </c>
      <c r="C126" s="5">
        <v>2013.0</v>
      </c>
      <c r="D126" s="6">
        <v>41470.0</v>
      </c>
      <c r="E126" s="5" t="s">
        <v>17</v>
      </c>
      <c r="F126" s="5" t="s">
        <v>18</v>
      </c>
      <c r="G126" s="5" t="s">
        <v>28</v>
      </c>
      <c r="H126" s="5"/>
      <c r="I126" s="5" t="s">
        <v>115</v>
      </c>
      <c r="J126" s="5" t="s">
        <v>21</v>
      </c>
      <c r="K126" s="5" t="s">
        <v>58</v>
      </c>
      <c r="L126" s="5">
        <v>38.7666488</v>
      </c>
      <c r="M126" s="5">
        <v>42.0</v>
      </c>
      <c r="N126" s="5" t="s">
        <v>23</v>
      </c>
      <c r="O126" s="10" t="s">
        <v>116</v>
      </c>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row>
    <row r="127">
      <c r="A127" s="4">
        <v>41456.0</v>
      </c>
      <c r="B127" s="5" t="s">
        <v>57</v>
      </c>
      <c r="C127" s="5">
        <v>2013.0</v>
      </c>
      <c r="D127" s="6">
        <v>41500.0</v>
      </c>
      <c r="E127" s="5" t="s">
        <v>17</v>
      </c>
      <c r="F127" s="5" t="s">
        <v>18</v>
      </c>
      <c r="G127" s="5" t="s">
        <v>19</v>
      </c>
      <c r="H127" s="5"/>
      <c r="I127" s="5" t="s">
        <v>115</v>
      </c>
      <c r="J127" s="5" t="s">
        <v>21</v>
      </c>
      <c r="K127" s="5" t="s">
        <v>58</v>
      </c>
      <c r="L127" s="5">
        <v>38.7666488</v>
      </c>
      <c r="M127" s="5">
        <v>42.0</v>
      </c>
      <c r="N127" s="5" t="s">
        <v>23</v>
      </c>
      <c r="O127" s="10" t="s">
        <v>116</v>
      </c>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row>
    <row r="128">
      <c r="A128" s="4">
        <v>41600.0</v>
      </c>
      <c r="B128" s="5" t="s">
        <v>25</v>
      </c>
      <c r="C128" s="5">
        <v>2013.0</v>
      </c>
      <c r="D128" s="6">
        <v>41609.0</v>
      </c>
      <c r="E128" s="5" t="s">
        <v>17</v>
      </c>
      <c r="F128" s="5" t="s">
        <v>18</v>
      </c>
      <c r="G128" s="5" t="s">
        <v>19</v>
      </c>
      <c r="H128" s="5"/>
      <c r="I128" s="5" t="s">
        <v>20</v>
      </c>
      <c r="J128" s="5" t="s">
        <v>21</v>
      </c>
      <c r="K128" s="5" t="s">
        <v>117</v>
      </c>
      <c r="L128" s="9">
        <v>42.0</v>
      </c>
      <c r="M128" s="5">
        <v>48.43333</v>
      </c>
      <c r="N128" s="5" t="s">
        <v>25</v>
      </c>
      <c r="O128" s="7" t="s">
        <v>118</v>
      </c>
      <c r="P128" s="8"/>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row>
    <row r="129">
      <c r="A129" s="4">
        <v>41613.0</v>
      </c>
      <c r="B129" s="5" t="s">
        <v>25</v>
      </c>
      <c r="C129" s="5">
        <v>2013.0</v>
      </c>
      <c r="D129" s="6">
        <v>41624.0</v>
      </c>
      <c r="E129" s="5" t="s">
        <v>17</v>
      </c>
      <c r="F129" s="5" t="s">
        <v>18</v>
      </c>
      <c r="G129" s="5" t="s">
        <v>28</v>
      </c>
      <c r="H129" s="5"/>
      <c r="I129" s="5" t="s">
        <v>20</v>
      </c>
      <c r="J129" s="5" t="s">
        <v>21</v>
      </c>
      <c r="K129" s="5" t="s">
        <v>119</v>
      </c>
      <c r="L129" s="9">
        <v>42.0</v>
      </c>
      <c r="M129" s="5">
        <v>46.28</v>
      </c>
      <c r="N129" s="5" t="s">
        <v>25</v>
      </c>
      <c r="O129" s="7" t="s">
        <v>120</v>
      </c>
      <c r="P129" s="8"/>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row>
    <row r="130">
      <c r="A130" s="4">
        <v>41635.0</v>
      </c>
      <c r="B130" s="5" t="s">
        <v>25</v>
      </c>
      <c r="C130" s="5">
        <v>2014.0</v>
      </c>
      <c r="D130" s="6">
        <v>41654.0</v>
      </c>
      <c r="E130" s="5" t="s">
        <v>17</v>
      </c>
      <c r="F130" s="5" t="s">
        <v>18</v>
      </c>
      <c r="G130" s="5" t="s">
        <v>28</v>
      </c>
      <c r="H130" s="5"/>
      <c r="I130" s="5" t="s">
        <v>20</v>
      </c>
      <c r="J130" s="5" t="s">
        <v>21</v>
      </c>
      <c r="K130" s="5" t="s">
        <v>121</v>
      </c>
      <c r="L130" s="5">
        <v>46.28</v>
      </c>
      <c r="M130" s="5">
        <v>48.43333</v>
      </c>
      <c r="N130" s="5" t="s">
        <v>25</v>
      </c>
      <c r="O130" s="7" t="s">
        <v>122</v>
      </c>
      <c r="P130" s="5" t="s">
        <v>123</v>
      </c>
      <c r="Q130" s="8"/>
      <c r="R130" s="8"/>
      <c r="S130" s="8"/>
      <c r="T130" s="8"/>
      <c r="U130" s="8"/>
      <c r="V130" s="8"/>
      <c r="W130" s="8"/>
      <c r="X130" s="8"/>
      <c r="Y130" s="8"/>
      <c r="Z130" s="8"/>
      <c r="AA130" s="8"/>
      <c r="AB130" s="8"/>
      <c r="AC130" s="8"/>
      <c r="AD130" s="8"/>
      <c r="AE130" s="8"/>
      <c r="AF130" s="8"/>
      <c r="AG130" s="8"/>
      <c r="AH130" s="8"/>
      <c r="AI130" s="8"/>
      <c r="AJ130" s="8"/>
      <c r="AK130" s="8"/>
      <c r="AL130" s="8"/>
      <c r="AM130" s="8"/>
      <c r="AN130" s="8"/>
    </row>
    <row r="131">
      <c r="A131" s="4">
        <v>41635.0</v>
      </c>
      <c r="B131" s="5" t="s">
        <v>25</v>
      </c>
      <c r="C131" s="5">
        <v>2014.0</v>
      </c>
      <c r="D131" s="6">
        <v>41654.0</v>
      </c>
      <c r="E131" s="5" t="s">
        <v>17</v>
      </c>
      <c r="F131" s="5" t="s">
        <v>18</v>
      </c>
      <c r="G131" s="5" t="s">
        <v>19</v>
      </c>
      <c r="H131" s="5"/>
      <c r="I131" s="5" t="s">
        <v>62</v>
      </c>
      <c r="J131" s="5" t="s">
        <v>21</v>
      </c>
      <c r="K131" s="5" t="s">
        <v>63</v>
      </c>
      <c r="L131" s="5">
        <v>47.08</v>
      </c>
      <c r="M131" s="5">
        <v>47.28</v>
      </c>
      <c r="N131" s="5" t="s">
        <v>25</v>
      </c>
      <c r="O131" s="7" t="s">
        <v>122</v>
      </c>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row>
    <row r="132">
      <c r="A132" s="4">
        <v>41635.0</v>
      </c>
      <c r="B132" s="5" t="s">
        <v>25</v>
      </c>
      <c r="C132" s="5">
        <v>2014.0</v>
      </c>
      <c r="D132" s="6">
        <v>41760.0</v>
      </c>
      <c r="E132" s="5" t="s">
        <v>17</v>
      </c>
      <c r="F132" s="5" t="s">
        <v>18</v>
      </c>
      <c r="G132" s="5" t="s">
        <v>28</v>
      </c>
      <c r="H132" s="5"/>
      <c r="I132" s="5" t="s">
        <v>62</v>
      </c>
      <c r="J132" s="5" t="s">
        <v>21</v>
      </c>
      <c r="K132" s="5" t="s">
        <v>85</v>
      </c>
      <c r="L132" s="5">
        <v>47.245</v>
      </c>
      <c r="M132" s="5">
        <v>47.28</v>
      </c>
      <c r="N132" s="5" t="s">
        <v>25</v>
      </c>
      <c r="O132" s="7" t="s">
        <v>122</v>
      </c>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row>
    <row r="133">
      <c r="A133" s="4">
        <v>41635.0</v>
      </c>
      <c r="B133" s="5" t="s">
        <v>25</v>
      </c>
      <c r="C133" s="5">
        <v>2014.0</v>
      </c>
      <c r="D133" s="6">
        <v>41654.0</v>
      </c>
      <c r="E133" s="5" t="s">
        <v>17</v>
      </c>
      <c r="F133" s="5" t="s">
        <v>18</v>
      </c>
      <c r="G133" s="5" t="s">
        <v>19</v>
      </c>
      <c r="H133" s="5"/>
      <c r="I133" s="5" t="s">
        <v>62</v>
      </c>
      <c r="J133" s="5" t="s">
        <v>21</v>
      </c>
      <c r="K133" s="5" t="s">
        <v>69</v>
      </c>
      <c r="L133" s="5">
        <v>47.405</v>
      </c>
      <c r="M133" s="5">
        <v>47.58</v>
      </c>
      <c r="N133" s="5" t="s">
        <v>25</v>
      </c>
      <c r="O133" s="7" t="s">
        <v>122</v>
      </c>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row>
    <row r="134">
      <c r="A134" s="4">
        <v>41635.0</v>
      </c>
      <c r="B134" s="5" t="s">
        <v>25</v>
      </c>
      <c r="C134" s="5">
        <v>2014.0</v>
      </c>
      <c r="D134" s="6">
        <v>41760.0</v>
      </c>
      <c r="E134" s="5" t="s">
        <v>17</v>
      </c>
      <c r="F134" s="5" t="s">
        <v>18</v>
      </c>
      <c r="G134" s="5" t="s">
        <v>19</v>
      </c>
      <c r="H134" s="5"/>
      <c r="I134" s="5" t="s">
        <v>62</v>
      </c>
      <c r="J134" s="5" t="s">
        <v>40</v>
      </c>
      <c r="K134" s="5" t="s">
        <v>69</v>
      </c>
      <c r="L134" s="5">
        <v>47.405</v>
      </c>
      <c r="M134" s="5">
        <v>47.58</v>
      </c>
      <c r="N134" s="5" t="s">
        <v>25</v>
      </c>
      <c r="O134" s="7" t="s">
        <v>122</v>
      </c>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row>
    <row r="135">
      <c r="A135" s="4">
        <v>41635.0</v>
      </c>
      <c r="B135" s="5" t="s">
        <v>25</v>
      </c>
      <c r="C135" s="5">
        <v>2014.0</v>
      </c>
      <c r="D135" s="6">
        <v>41791.0</v>
      </c>
      <c r="E135" s="5" t="s">
        <v>17</v>
      </c>
      <c r="F135" s="5" t="s">
        <v>18</v>
      </c>
      <c r="G135" s="5" t="s">
        <v>28</v>
      </c>
      <c r="H135" s="5"/>
      <c r="I135" s="5" t="s">
        <v>62</v>
      </c>
      <c r="J135" s="5" t="s">
        <v>40</v>
      </c>
      <c r="K135" s="5" t="s">
        <v>69</v>
      </c>
      <c r="L135" s="5">
        <v>47.405</v>
      </c>
      <c r="M135" s="5">
        <v>47.58</v>
      </c>
      <c r="N135" s="5" t="s">
        <v>25</v>
      </c>
      <c r="O135" s="7" t="s">
        <v>122</v>
      </c>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row>
    <row r="136">
      <c r="A136" s="4">
        <v>41635.0</v>
      </c>
      <c r="B136" s="5" t="s">
        <v>25</v>
      </c>
      <c r="C136" s="5">
        <v>2014.0</v>
      </c>
      <c r="D136" s="6">
        <v>41654.0</v>
      </c>
      <c r="E136" s="5" t="s">
        <v>17</v>
      </c>
      <c r="F136" s="5" t="s">
        <v>18</v>
      </c>
      <c r="G136" s="5" t="s">
        <v>19</v>
      </c>
      <c r="H136" s="5"/>
      <c r="I136" s="5" t="s">
        <v>62</v>
      </c>
      <c r="J136" s="5" t="s">
        <v>21</v>
      </c>
      <c r="K136" s="5" t="s">
        <v>70</v>
      </c>
      <c r="L136" s="5">
        <v>48.0215</v>
      </c>
      <c r="M136" s="5">
        <v>48.195</v>
      </c>
      <c r="N136" s="5" t="s">
        <v>25</v>
      </c>
      <c r="O136" s="7" t="s">
        <v>122</v>
      </c>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row>
    <row r="137">
      <c r="A137" s="4">
        <v>41635.0</v>
      </c>
      <c r="B137" s="5" t="s">
        <v>25</v>
      </c>
      <c r="C137" s="5">
        <v>2014.0</v>
      </c>
      <c r="D137" s="6">
        <v>41684.0</v>
      </c>
      <c r="E137" s="5" t="s">
        <v>17</v>
      </c>
      <c r="F137" s="5" t="s">
        <v>18</v>
      </c>
      <c r="G137" s="5" t="s">
        <v>19</v>
      </c>
      <c r="H137" s="5" t="s">
        <v>37</v>
      </c>
      <c r="I137" s="5" t="s">
        <v>62</v>
      </c>
      <c r="J137" s="5" t="s">
        <v>40</v>
      </c>
      <c r="K137" s="5" t="s">
        <v>70</v>
      </c>
      <c r="L137" s="5">
        <v>48.0215</v>
      </c>
      <c r="M137" s="5">
        <v>48.195</v>
      </c>
      <c r="N137" s="5" t="s">
        <v>25</v>
      </c>
      <c r="O137" s="7" t="s">
        <v>122</v>
      </c>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row>
    <row r="138">
      <c r="A138" s="4">
        <v>41635.0</v>
      </c>
      <c r="B138" s="5" t="s">
        <v>25</v>
      </c>
      <c r="C138" s="5">
        <v>2014.0</v>
      </c>
      <c r="D138" s="6">
        <v>41714.0</v>
      </c>
      <c r="E138" s="5" t="s">
        <v>17</v>
      </c>
      <c r="F138" s="5" t="s">
        <v>18</v>
      </c>
      <c r="G138" s="5" t="s">
        <v>28</v>
      </c>
      <c r="H138" s="5" t="s">
        <v>37</v>
      </c>
      <c r="I138" s="5" t="s">
        <v>62</v>
      </c>
      <c r="J138" s="5" t="s">
        <v>40</v>
      </c>
      <c r="K138" s="5" t="s">
        <v>70</v>
      </c>
      <c r="L138" s="5">
        <v>48.0215</v>
      </c>
      <c r="M138" s="5">
        <v>48.195</v>
      </c>
      <c r="N138" s="5" t="s">
        <v>25</v>
      </c>
      <c r="O138" s="7" t="s">
        <v>122</v>
      </c>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row>
    <row r="139">
      <c r="A139" s="4">
        <v>41965.0</v>
      </c>
      <c r="B139" s="5" t="s">
        <v>16</v>
      </c>
      <c r="C139" s="5">
        <v>2014.0</v>
      </c>
      <c r="D139" s="6">
        <v>41974.0</v>
      </c>
      <c r="E139" s="5" t="s">
        <v>17</v>
      </c>
      <c r="F139" s="5" t="s">
        <v>18</v>
      </c>
      <c r="G139" s="5" t="s">
        <v>28</v>
      </c>
      <c r="H139" s="5"/>
      <c r="I139" s="5" t="s">
        <v>20</v>
      </c>
      <c r="J139" s="5" t="s">
        <v>21</v>
      </c>
      <c r="K139" s="5" t="s">
        <v>124</v>
      </c>
      <c r="L139" s="5">
        <v>38.911167</v>
      </c>
      <c r="M139" s="5">
        <v>46.28</v>
      </c>
      <c r="N139" s="5" t="s">
        <v>23</v>
      </c>
      <c r="O139" s="10" t="s">
        <v>125</v>
      </c>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row>
    <row r="140">
      <c r="A140" s="4">
        <v>41965.0</v>
      </c>
      <c r="B140" s="5" t="s">
        <v>25</v>
      </c>
      <c r="C140" s="5">
        <v>2014.0</v>
      </c>
      <c r="D140" s="6">
        <v>41974.0</v>
      </c>
      <c r="E140" s="5" t="s">
        <v>17</v>
      </c>
      <c r="F140" s="5" t="s">
        <v>18</v>
      </c>
      <c r="G140" s="5" t="s">
        <v>19</v>
      </c>
      <c r="H140" s="5"/>
      <c r="I140" s="5" t="s">
        <v>35</v>
      </c>
      <c r="J140" s="5" t="s">
        <v>40</v>
      </c>
      <c r="K140" s="5" t="s">
        <v>41</v>
      </c>
      <c r="L140" s="5">
        <v>46.25</v>
      </c>
      <c r="M140" s="5">
        <v>46.28</v>
      </c>
      <c r="N140" s="5" t="s">
        <v>23</v>
      </c>
      <c r="O140" s="10" t="s">
        <v>126</v>
      </c>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row>
    <row r="141">
      <c r="A141" s="4">
        <v>41975.0</v>
      </c>
      <c r="B141" s="5" t="s">
        <v>25</v>
      </c>
      <c r="C141" s="5">
        <v>2014.0</v>
      </c>
      <c r="D141" s="6">
        <v>42004.0</v>
      </c>
      <c r="E141" s="5" t="s">
        <v>17</v>
      </c>
      <c r="F141" s="5" t="s">
        <v>18</v>
      </c>
      <c r="G141" s="5" t="s">
        <v>28</v>
      </c>
      <c r="H141" s="5"/>
      <c r="I141" s="5" t="s">
        <v>35</v>
      </c>
      <c r="J141" s="5" t="s">
        <v>40</v>
      </c>
      <c r="K141" s="5" t="s">
        <v>41</v>
      </c>
      <c r="L141" s="5">
        <v>46.25</v>
      </c>
      <c r="M141" s="5">
        <v>46.28</v>
      </c>
      <c r="N141" s="5" t="s">
        <v>23</v>
      </c>
      <c r="O141" s="7" t="s">
        <v>127</v>
      </c>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row>
    <row r="142">
      <c r="A142" s="4">
        <v>41975.0</v>
      </c>
      <c r="B142" s="5" t="s">
        <v>25</v>
      </c>
      <c r="C142" s="5">
        <v>2014.0</v>
      </c>
      <c r="D142" s="6">
        <v>41974.0</v>
      </c>
      <c r="E142" s="5" t="s">
        <v>17</v>
      </c>
      <c r="F142" s="5" t="s">
        <v>18</v>
      </c>
      <c r="G142" s="5" t="s">
        <v>19</v>
      </c>
      <c r="H142" s="5"/>
      <c r="I142" s="5" t="s">
        <v>35</v>
      </c>
      <c r="J142" s="5" t="s">
        <v>21</v>
      </c>
      <c r="K142" s="5" t="s">
        <v>73</v>
      </c>
      <c r="L142" s="5">
        <v>46.28</v>
      </c>
      <c r="M142" s="5">
        <v>47.405</v>
      </c>
      <c r="N142" s="5" t="s">
        <v>23</v>
      </c>
      <c r="O142" s="7" t="s">
        <v>127</v>
      </c>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row>
    <row r="143">
      <c r="A143" s="4">
        <v>41975.0</v>
      </c>
      <c r="B143" s="5" t="s">
        <v>25</v>
      </c>
      <c r="C143" s="5">
        <v>2015.0</v>
      </c>
      <c r="D143" s="6">
        <v>42007.0</v>
      </c>
      <c r="E143" s="5" t="s">
        <v>17</v>
      </c>
      <c r="F143" s="5" t="s">
        <v>18</v>
      </c>
      <c r="G143" s="5" t="s">
        <v>28</v>
      </c>
      <c r="H143" s="5"/>
      <c r="I143" s="5" t="s">
        <v>35</v>
      </c>
      <c r="J143" s="5" t="s">
        <v>21</v>
      </c>
      <c r="K143" s="5" t="s">
        <v>73</v>
      </c>
      <c r="L143" s="5">
        <v>46.28</v>
      </c>
      <c r="M143" s="5">
        <v>47.405</v>
      </c>
      <c r="N143" s="5" t="s">
        <v>23</v>
      </c>
      <c r="O143" s="7" t="s">
        <v>127</v>
      </c>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row>
    <row r="144">
      <c r="A144" s="4">
        <v>41975.0</v>
      </c>
      <c r="B144" s="5" t="s">
        <v>25</v>
      </c>
      <c r="C144" s="5">
        <v>2014.0</v>
      </c>
      <c r="D144" s="6">
        <v>41974.0</v>
      </c>
      <c r="E144" s="5" t="s">
        <v>17</v>
      </c>
      <c r="F144" s="5" t="s">
        <v>18</v>
      </c>
      <c r="G144" s="5" t="s">
        <v>19</v>
      </c>
      <c r="H144" s="5"/>
      <c r="I144" s="5" t="s">
        <v>35</v>
      </c>
      <c r="J144" s="5" t="s">
        <v>21</v>
      </c>
      <c r="K144" s="5" t="s">
        <v>60</v>
      </c>
      <c r="L144" s="5">
        <v>47.405</v>
      </c>
      <c r="M144" s="5">
        <v>48.43333</v>
      </c>
      <c r="N144" s="5" t="s">
        <v>23</v>
      </c>
      <c r="O144" s="7" t="s">
        <v>127</v>
      </c>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row>
    <row r="145">
      <c r="A145" s="4">
        <v>42013.0</v>
      </c>
      <c r="B145" s="5" t="s">
        <v>25</v>
      </c>
      <c r="C145" s="5">
        <v>2015.0</v>
      </c>
      <c r="D145" s="6">
        <v>42019.0</v>
      </c>
      <c r="E145" s="5" t="s">
        <v>17</v>
      </c>
      <c r="F145" s="5" t="s">
        <v>18</v>
      </c>
      <c r="G145" s="5" t="s">
        <v>28</v>
      </c>
      <c r="H145" s="5"/>
      <c r="I145" s="5" t="s">
        <v>35</v>
      </c>
      <c r="J145" s="5" t="s">
        <v>21</v>
      </c>
      <c r="K145" s="5" t="s">
        <v>60</v>
      </c>
      <c r="L145" s="5">
        <v>47.405</v>
      </c>
      <c r="M145" s="5">
        <v>48.43333</v>
      </c>
      <c r="N145" s="5" t="s">
        <v>23</v>
      </c>
      <c r="O145" s="10" t="s">
        <v>128</v>
      </c>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row>
    <row r="146">
      <c r="A146" s="4">
        <v>41975.0</v>
      </c>
      <c r="B146" s="5" t="s">
        <v>25</v>
      </c>
      <c r="C146" s="5">
        <v>2014.0</v>
      </c>
      <c r="D146" s="14">
        <v>42004.0</v>
      </c>
      <c r="E146" s="5" t="s">
        <v>17</v>
      </c>
      <c r="F146" s="5" t="s">
        <v>18</v>
      </c>
      <c r="G146" s="5" t="s">
        <v>19</v>
      </c>
      <c r="H146" s="5"/>
      <c r="I146" s="5" t="s">
        <v>62</v>
      </c>
      <c r="J146" s="5" t="s">
        <v>21</v>
      </c>
      <c r="K146" s="5" t="s">
        <v>63</v>
      </c>
      <c r="L146" s="5">
        <v>47.08</v>
      </c>
      <c r="M146" s="5">
        <v>47.28</v>
      </c>
      <c r="N146" s="5" t="s">
        <v>23</v>
      </c>
      <c r="O146" s="10" t="s">
        <v>127</v>
      </c>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row>
    <row r="147">
      <c r="A147" s="4">
        <v>41975.0</v>
      </c>
      <c r="B147" s="5" t="s">
        <v>25</v>
      </c>
      <c r="C147" s="5">
        <v>2014.0</v>
      </c>
      <c r="D147" s="14">
        <v>42098.0</v>
      </c>
      <c r="E147" s="5" t="s">
        <v>17</v>
      </c>
      <c r="F147" s="5" t="s">
        <v>18</v>
      </c>
      <c r="G147" s="5" t="s">
        <v>28</v>
      </c>
      <c r="H147" s="5"/>
      <c r="I147" s="5" t="s">
        <v>62</v>
      </c>
      <c r="J147" s="5" t="s">
        <v>21</v>
      </c>
      <c r="K147" s="5" t="s">
        <v>85</v>
      </c>
      <c r="L147" s="5">
        <v>47.245</v>
      </c>
      <c r="M147" s="5">
        <v>47.28</v>
      </c>
      <c r="N147" s="5" t="s">
        <v>23</v>
      </c>
      <c r="O147" s="10" t="s">
        <v>127</v>
      </c>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row>
    <row r="148">
      <c r="A148" s="4">
        <v>42013.0</v>
      </c>
      <c r="B148" s="5" t="s">
        <v>25</v>
      </c>
      <c r="C148" s="5">
        <v>2015.0</v>
      </c>
      <c r="D148" s="6">
        <v>42016.0</v>
      </c>
      <c r="E148" s="5" t="s">
        <v>17</v>
      </c>
      <c r="F148" s="5" t="s">
        <v>18</v>
      </c>
      <c r="G148" s="5" t="s">
        <v>19</v>
      </c>
      <c r="H148" s="5"/>
      <c r="I148" s="5" t="s">
        <v>62</v>
      </c>
      <c r="J148" s="5" t="s">
        <v>21</v>
      </c>
      <c r="K148" s="5" t="s">
        <v>69</v>
      </c>
      <c r="L148" s="5">
        <v>47.405</v>
      </c>
      <c r="M148" s="5">
        <v>47.58</v>
      </c>
      <c r="N148" s="5" t="s">
        <v>23</v>
      </c>
      <c r="O148" s="10" t="s">
        <v>128</v>
      </c>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row>
    <row r="149">
      <c r="A149" s="4">
        <v>42013.0</v>
      </c>
      <c r="B149" s="5" t="s">
        <v>25</v>
      </c>
      <c r="C149" s="5">
        <v>2015.0</v>
      </c>
      <c r="D149" s="6">
        <v>42125.0</v>
      </c>
      <c r="E149" s="5" t="s">
        <v>17</v>
      </c>
      <c r="F149" s="5" t="s">
        <v>18</v>
      </c>
      <c r="G149" s="5" t="s">
        <v>19</v>
      </c>
      <c r="H149" s="5"/>
      <c r="I149" s="5" t="s">
        <v>62</v>
      </c>
      <c r="J149" s="5" t="s">
        <v>40</v>
      </c>
      <c r="K149" s="5" t="s">
        <v>69</v>
      </c>
      <c r="L149" s="5">
        <v>47.405</v>
      </c>
      <c r="M149" s="5">
        <v>47.58</v>
      </c>
      <c r="N149" s="5" t="s">
        <v>23</v>
      </c>
      <c r="O149" s="10" t="s">
        <v>128</v>
      </c>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row>
    <row r="150">
      <c r="A150" s="4">
        <v>42013.0</v>
      </c>
      <c r="B150" s="5" t="s">
        <v>25</v>
      </c>
      <c r="C150" s="5">
        <v>2015.0</v>
      </c>
      <c r="D150" s="6">
        <v>42156.0</v>
      </c>
      <c r="E150" s="5" t="s">
        <v>17</v>
      </c>
      <c r="F150" s="5" t="s">
        <v>18</v>
      </c>
      <c r="G150" s="5" t="s">
        <v>28</v>
      </c>
      <c r="H150" s="5"/>
      <c r="I150" s="5" t="s">
        <v>62</v>
      </c>
      <c r="J150" s="5" t="s">
        <v>40</v>
      </c>
      <c r="K150" s="5" t="s">
        <v>69</v>
      </c>
      <c r="L150" s="5">
        <v>47.405</v>
      </c>
      <c r="M150" s="5">
        <v>47.58</v>
      </c>
      <c r="N150" s="5" t="s">
        <v>23</v>
      </c>
      <c r="O150" s="10" t="s">
        <v>128</v>
      </c>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row>
    <row r="151">
      <c r="A151" s="4">
        <v>42013.0</v>
      </c>
      <c r="B151" s="5" t="s">
        <v>25</v>
      </c>
      <c r="C151" s="5">
        <v>2015.0</v>
      </c>
      <c r="D151" s="6">
        <v>42016.0</v>
      </c>
      <c r="E151" s="5" t="s">
        <v>17</v>
      </c>
      <c r="F151" s="5" t="s">
        <v>18</v>
      </c>
      <c r="G151" s="5" t="s">
        <v>19</v>
      </c>
      <c r="H151" s="5"/>
      <c r="I151" s="5" t="s">
        <v>62</v>
      </c>
      <c r="J151" s="5" t="s">
        <v>21</v>
      </c>
      <c r="K151" s="5" t="s">
        <v>70</v>
      </c>
      <c r="L151" s="5">
        <v>48.02</v>
      </c>
      <c r="M151" s="5">
        <v>48.195</v>
      </c>
      <c r="N151" s="5" t="s">
        <v>23</v>
      </c>
      <c r="O151" s="10" t="s">
        <v>128</v>
      </c>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row>
    <row r="152">
      <c r="A152" s="4">
        <v>42013.0</v>
      </c>
      <c r="B152" s="5" t="s">
        <v>25</v>
      </c>
      <c r="C152" s="5">
        <v>2015.0</v>
      </c>
      <c r="D152" s="6">
        <v>42050.0</v>
      </c>
      <c r="E152" s="5" t="s">
        <v>17</v>
      </c>
      <c r="F152" s="5" t="s">
        <v>18</v>
      </c>
      <c r="G152" s="5" t="s">
        <v>19</v>
      </c>
      <c r="H152" s="5"/>
      <c r="I152" s="5" t="s">
        <v>62</v>
      </c>
      <c r="J152" s="5" t="s">
        <v>40</v>
      </c>
      <c r="K152" s="5" t="s">
        <v>70</v>
      </c>
      <c r="L152" s="5">
        <v>48.02</v>
      </c>
      <c r="M152" s="5">
        <v>48.195</v>
      </c>
      <c r="N152" s="5" t="s">
        <v>23</v>
      </c>
      <c r="O152" s="10" t="s">
        <v>128</v>
      </c>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row>
    <row r="153">
      <c r="A153" s="4">
        <v>42046.0</v>
      </c>
      <c r="B153" s="5" t="s">
        <v>25</v>
      </c>
      <c r="C153" s="5">
        <v>2015.0</v>
      </c>
      <c r="D153" s="6">
        <v>42080.0</v>
      </c>
      <c r="E153" s="5" t="s">
        <v>17</v>
      </c>
      <c r="F153" s="5" t="s">
        <v>18</v>
      </c>
      <c r="G153" s="5" t="s">
        <v>28</v>
      </c>
      <c r="H153" s="8"/>
      <c r="I153" s="5" t="s">
        <v>62</v>
      </c>
      <c r="J153" s="5" t="s">
        <v>40</v>
      </c>
      <c r="K153" s="5" t="s">
        <v>70</v>
      </c>
      <c r="L153" s="5">
        <v>48.02</v>
      </c>
      <c r="M153" s="5">
        <v>48.195</v>
      </c>
      <c r="N153" s="5" t="s">
        <v>23</v>
      </c>
      <c r="O153" s="7" t="s">
        <v>129</v>
      </c>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row>
    <row r="154">
      <c r="A154" s="4">
        <v>42160.0</v>
      </c>
      <c r="B154" s="5" t="s">
        <v>25</v>
      </c>
      <c r="C154" s="5">
        <v>2015.0</v>
      </c>
      <c r="D154" s="6">
        <v>42160.0</v>
      </c>
      <c r="E154" s="5" t="s">
        <v>17</v>
      </c>
      <c r="F154" s="5" t="s">
        <v>49</v>
      </c>
      <c r="G154" s="5" t="s">
        <v>19</v>
      </c>
      <c r="H154" s="5"/>
      <c r="I154" s="5" t="s">
        <v>130</v>
      </c>
      <c r="J154" s="5" t="s">
        <v>21</v>
      </c>
      <c r="K154" s="5" t="s">
        <v>131</v>
      </c>
      <c r="L154" s="5">
        <v>46.25</v>
      </c>
      <c r="M154" s="5">
        <v>46.5318</v>
      </c>
      <c r="N154" s="5" t="s">
        <v>23</v>
      </c>
      <c r="O154" s="7" t="s">
        <v>132</v>
      </c>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row>
    <row r="155">
      <c r="A155" s="4">
        <v>42219.0</v>
      </c>
      <c r="B155" s="5" t="s">
        <v>25</v>
      </c>
      <c r="C155" s="5">
        <v>2015.0</v>
      </c>
      <c r="D155" s="6">
        <v>42219.0</v>
      </c>
      <c r="E155" s="5" t="s">
        <v>17</v>
      </c>
      <c r="F155" s="5" t="s">
        <v>49</v>
      </c>
      <c r="G155" s="5" t="s">
        <v>19</v>
      </c>
      <c r="H155" s="5"/>
      <c r="I155" s="5" t="s">
        <v>130</v>
      </c>
      <c r="J155" s="5" t="s">
        <v>21</v>
      </c>
      <c r="K155" s="5" t="s">
        <v>133</v>
      </c>
      <c r="L155" s="5">
        <v>46.5318</v>
      </c>
      <c r="M155" s="5">
        <f>47+31.7/60</f>
        <v>47.52833333</v>
      </c>
      <c r="N155" s="5" t="s">
        <v>23</v>
      </c>
      <c r="O155" s="10" t="s">
        <v>134</v>
      </c>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row>
    <row r="156">
      <c r="A156" s="4">
        <v>42244.0</v>
      </c>
      <c r="B156" s="5" t="s">
        <v>25</v>
      </c>
      <c r="C156" s="5">
        <v>2015.0</v>
      </c>
      <c r="D156" s="6">
        <v>42244.0</v>
      </c>
      <c r="E156" s="5" t="s">
        <v>17</v>
      </c>
      <c r="F156" s="5" t="s">
        <v>49</v>
      </c>
      <c r="G156" s="5" t="s">
        <v>28</v>
      </c>
      <c r="H156" s="5"/>
      <c r="I156" s="5" t="s">
        <v>130</v>
      </c>
      <c r="J156" s="5" t="s">
        <v>21</v>
      </c>
      <c r="K156" s="5" t="s">
        <v>135</v>
      </c>
      <c r="L156" s="5">
        <v>46.5318</v>
      </c>
      <c r="M156" s="5">
        <v>48.43333</v>
      </c>
      <c r="N156" s="5" t="s">
        <v>23</v>
      </c>
      <c r="O156" s="7" t="s">
        <v>136</v>
      </c>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row>
    <row r="157">
      <c r="A157" s="4">
        <v>42332.0</v>
      </c>
      <c r="B157" s="5" t="s">
        <v>25</v>
      </c>
      <c r="C157" s="5">
        <v>2015.0</v>
      </c>
      <c r="D157" s="14">
        <v>42339.0</v>
      </c>
      <c r="E157" s="5" t="s">
        <v>17</v>
      </c>
      <c r="F157" s="5" t="s">
        <v>18</v>
      </c>
      <c r="G157" s="5" t="s">
        <v>19</v>
      </c>
      <c r="H157" s="5"/>
      <c r="I157" s="5" t="s">
        <v>130</v>
      </c>
      <c r="J157" s="5" t="s">
        <v>21</v>
      </c>
      <c r="K157" s="5" t="s">
        <v>137</v>
      </c>
      <c r="L157" s="9">
        <v>42.0</v>
      </c>
      <c r="M157" s="5">
        <v>47.405</v>
      </c>
      <c r="N157" s="5" t="s">
        <v>25</v>
      </c>
      <c r="O157" s="7" t="s">
        <v>138</v>
      </c>
      <c r="P157" s="5"/>
      <c r="Q157" s="8"/>
      <c r="R157" s="8"/>
      <c r="S157" s="8"/>
      <c r="T157" s="8"/>
      <c r="U157" s="8"/>
      <c r="V157" s="8"/>
      <c r="W157" s="8"/>
      <c r="X157" s="8"/>
      <c r="Y157" s="8"/>
      <c r="Z157" s="8"/>
      <c r="AA157" s="8"/>
      <c r="AB157" s="8"/>
      <c r="AC157" s="8"/>
      <c r="AD157" s="8"/>
      <c r="AE157" s="8"/>
      <c r="AF157" s="8"/>
      <c r="AG157" s="8"/>
      <c r="AH157" s="8"/>
      <c r="AI157" s="8"/>
      <c r="AJ157" s="8"/>
      <c r="AK157" s="8"/>
      <c r="AL157" s="8"/>
      <c r="AM157" s="8"/>
      <c r="AN157" s="8"/>
    </row>
    <row r="158">
      <c r="A158" s="4">
        <v>42359.0</v>
      </c>
      <c r="B158" s="5" t="s">
        <v>25</v>
      </c>
      <c r="C158" s="5">
        <v>2016.0</v>
      </c>
      <c r="D158" s="14">
        <v>42373.0</v>
      </c>
      <c r="E158" s="5" t="s">
        <v>17</v>
      </c>
      <c r="F158" s="5" t="s">
        <v>18</v>
      </c>
      <c r="G158" s="5" t="s">
        <v>28</v>
      </c>
      <c r="H158" s="5"/>
      <c r="I158" s="5" t="s">
        <v>130</v>
      </c>
      <c r="J158" s="5" t="s">
        <v>21</v>
      </c>
      <c r="K158" s="5" t="s">
        <v>137</v>
      </c>
      <c r="L158" s="9">
        <v>42.0</v>
      </c>
      <c r="M158" s="5">
        <v>47.405</v>
      </c>
      <c r="N158" s="5" t="s">
        <v>25</v>
      </c>
      <c r="O158" s="7" t="s">
        <v>139</v>
      </c>
      <c r="P158" s="5"/>
      <c r="Q158" s="8"/>
      <c r="R158" s="8"/>
      <c r="S158" s="8"/>
      <c r="T158" s="8"/>
      <c r="U158" s="8"/>
      <c r="V158" s="8"/>
      <c r="W158" s="8"/>
      <c r="X158" s="8"/>
      <c r="Y158" s="8"/>
      <c r="Z158" s="8"/>
      <c r="AA158" s="8"/>
      <c r="AB158" s="8"/>
      <c r="AC158" s="8"/>
      <c r="AD158" s="8"/>
      <c r="AE158" s="8"/>
      <c r="AF158" s="8"/>
      <c r="AG158" s="8"/>
      <c r="AH158" s="8"/>
      <c r="AI158" s="8"/>
      <c r="AJ158" s="8"/>
      <c r="AK158" s="8"/>
      <c r="AL158" s="8"/>
      <c r="AM158" s="8"/>
      <c r="AN158" s="8"/>
    </row>
    <row r="159">
      <c r="A159" s="4">
        <v>42359.0</v>
      </c>
      <c r="B159" s="5" t="s">
        <v>25</v>
      </c>
      <c r="C159" s="5">
        <v>2015.0</v>
      </c>
      <c r="D159" s="14">
        <v>42339.0</v>
      </c>
      <c r="E159" s="5" t="s">
        <v>17</v>
      </c>
      <c r="F159" s="5" t="s">
        <v>18</v>
      </c>
      <c r="G159" s="5" t="s">
        <v>19</v>
      </c>
      <c r="H159" s="5"/>
      <c r="I159" s="5" t="s">
        <v>35</v>
      </c>
      <c r="J159" s="5" t="s">
        <v>21</v>
      </c>
      <c r="K159" s="5" t="s">
        <v>121</v>
      </c>
      <c r="L159" s="5">
        <v>46.28</v>
      </c>
      <c r="M159" s="5">
        <v>48.43333</v>
      </c>
      <c r="N159" s="5" t="s">
        <v>25</v>
      </c>
      <c r="O159" s="7" t="s">
        <v>139</v>
      </c>
      <c r="P159" s="5"/>
      <c r="Q159" s="8"/>
      <c r="R159" s="8"/>
      <c r="S159" s="8"/>
      <c r="T159" s="8"/>
      <c r="U159" s="8"/>
      <c r="V159" s="8"/>
      <c r="W159" s="8"/>
      <c r="X159" s="8"/>
      <c r="Y159" s="8"/>
      <c r="Z159" s="8"/>
      <c r="AA159" s="8"/>
      <c r="AB159" s="8"/>
      <c r="AC159" s="8"/>
      <c r="AD159" s="8"/>
      <c r="AE159" s="8"/>
      <c r="AF159" s="8"/>
      <c r="AG159" s="8"/>
      <c r="AH159" s="8"/>
      <c r="AI159" s="8"/>
      <c r="AJ159" s="8"/>
      <c r="AK159" s="8"/>
      <c r="AL159" s="8"/>
      <c r="AM159" s="8"/>
      <c r="AN159" s="8"/>
    </row>
    <row r="160">
      <c r="A160" s="4">
        <v>42359.0</v>
      </c>
      <c r="B160" s="5" t="s">
        <v>25</v>
      </c>
      <c r="C160" s="5">
        <v>2016.0</v>
      </c>
      <c r="D160" s="14">
        <v>42384.0</v>
      </c>
      <c r="E160" s="5" t="s">
        <v>17</v>
      </c>
      <c r="F160" s="5" t="s">
        <v>18</v>
      </c>
      <c r="G160" s="5" t="s">
        <v>28</v>
      </c>
      <c r="H160" s="5"/>
      <c r="I160" s="5" t="s">
        <v>35</v>
      </c>
      <c r="J160" s="5" t="s">
        <v>21</v>
      </c>
      <c r="K160" s="5" t="s">
        <v>121</v>
      </c>
      <c r="L160" s="5">
        <v>46.28</v>
      </c>
      <c r="M160" s="5">
        <v>48.43333</v>
      </c>
      <c r="N160" s="5" t="s">
        <v>25</v>
      </c>
      <c r="O160" s="7" t="s">
        <v>139</v>
      </c>
      <c r="P160" s="5"/>
      <c r="Q160" s="8"/>
      <c r="R160" s="8"/>
      <c r="S160" s="8"/>
      <c r="T160" s="8"/>
      <c r="U160" s="8"/>
      <c r="V160" s="8"/>
      <c r="W160" s="8"/>
      <c r="X160" s="8"/>
      <c r="Y160" s="8"/>
      <c r="Z160" s="8"/>
      <c r="AA160" s="8"/>
      <c r="AB160" s="8"/>
      <c r="AC160" s="8"/>
      <c r="AD160" s="8"/>
      <c r="AE160" s="8"/>
      <c r="AF160" s="8"/>
      <c r="AG160" s="8"/>
      <c r="AH160" s="8"/>
      <c r="AI160" s="8"/>
      <c r="AJ160" s="8"/>
      <c r="AK160" s="8"/>
      <c r="AL160" s="8"/>
      <c r="AM160" s="8"/>
      <c r="AN160" s="8"/>
    </row>
    <row r="161">
      <c r="A161" s="4">
        <v>42359.0</v>
      </c>
      <c r="B161" s="5" t="s">
        <v>25</v>
      </c>
      <c r="C161" s="5">
        <v>2016.0</v>
      </c>
      <c r="D161" s="14">
        <v>42370.0</v>
      </c>
      <c r="E161" s="5" t="s">
        <v>17</v>
      </c>
      <c r="F161" s="5" t="s">
        <v>18</v>
      </c>
      <c r="G161" s="5" t="s">
        <v>19</v>
      </c>
      <c r="H161" s="8"/>
      <c r="I161" s="5" t="s">
        <v>62</v>
      </c>
      <c r="J161" s="5" t="s">
        <v>21</v>
      </c>
      <c r="K161" s="5" t="s">
        <v>63</v>
      </c>
      <c r="L161" s="5">
        <v>47.08</v>
      </c>
      <c r="M161" s="5">
        <v>47.28</v>
      </c>
      <c r="N161" s="5" t="s">
        <v>25</v>
      </c>
      <c r="O161" s="7" t="s">
        <v>139</v>
      </c>
      <c r="P161" s="5"/>
      <c r="Q161" s="8"/>
      <c r="R161" s="8"/>
      <c r="S161" s="8"/>
      <c r="T161" s="8"/>
      <c r="U161" s="8"/>
      <c r="V161" s="8"/>
      <c r="W161" s="8"/>
      <c r="X161" s="8"/>
      <c r="Y161" s="8"/>
      <c r="Z161" s="8"/>
      <c r="AA161" s="8"/>
      <c r="AB161" s="8"/>
      <c r="AC161" s="8"/>
      <c r="AD161" s="8"/>
      <c r="AE161" s="8"/>
      <c r="AF161" s="8"/>
      <c r="AG161" s="8"/>
      <c r="AH161" s="8"/>
      <c r="AI161" s="8"/>
      <c r="AJ161" s="8"/>
      <c r="AK161" s="8"/>
      <c r="AL161" s="8"/>
      <c r="AM161" s="8"/>
      <c r="AN161" s="8"/>
    </row>
    <row r="162">
      <c r="A162" s="4">
        <v>42359.0</v>
      </c>
      <c r="B162" s="5" t="s">
        <v>25</v>
      </c>
      <c r="C162" s="5">
        <v>2016.0</v>
      </c>
      <c r="D162" s="14">
        <v>42430.0</v>
      </c>
      <c r="E162" s="5" t="s">
        <v>17</v>
      </c>
      <c r="F162" s="5" t="s">
        <v>18</v>
      </c>
      <c r="G162" s="5" t="s">
        <v>28</v>
      </c>
      <c r="H162" s="8"/>
      <c r="I162" s="5" t="s">
        <v>62</v>
      </c>
      <c r="J162" s="5" t="s">
        <v>21</v>
      </c>
      <c r="K162" s="5" t="s">
        <v>85</v>
      </c>
      <c r="L162" s="5">
        <v>47.245</v>
      </c>
      <c r="M162" s="5">
        <v>47.28</v>
      </c>
      <c r="N162" s="5" t="s">
        <v>25</v>
      </c>
      <c r="O162" s="7" t="s">
        <v>139</v>
      </c>
      <c r="P162" s="20"/>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row>
    <row r="163">
      <c r="A163" s="4">
        <v>42395.0</v>
      </c>
      <c r="B163" s="5" t="s">
        <v>25</v>
      </c>
      <c r="C163" s="5">
        <v>2016.0</v>
      </c>
      <c r="D163" s="14">
        <v>42401.0</v>
      </c>
      <c r="E163" s="5" t="s">
        <v>17</v>
      </c>
      <c r="F163" s="5" t="s">
        <v>18</v>
      </c>
      <c r="G163" s="5" t="s">
        <v>28</v>
      </c>
      <c r="H163" s="5"/>
      <c r="I163" s="5" t="s">
        <v>35</v>
      </c>
      <c r="J163" s="5" t="s">
        <v>21</v>
      </c>
      <c r="K163" s="5" t="s">
        <v>60</v>
      </c>
      <c r="L163" s="5">
        <v>47.405</v>
      </c>
      <c r="M163" s="5">
        <v>48.43333</v>
      </c>
      <c r="N163" s="5" t="s">
        <v>25</v>
      </c>
      <c r="O163" s="7" t="s">
        <v>140</v>
      </c>
      <c r="P163" s="5"/>
      <c r="Q163" s="8"/>
      <c r="R163" s="8"/>
      <c r="S163" s="8"/>
      <c r="T163" s="8"/>
      <c r="U163" s="8"/>
      <c r="V163" s="8"/>
      <c r="W163" s="8"/>
      <c r="X163" s="8"/>
      <c r="Y163" s="8"/>
      <c r="Z163" s="8"/>
      <c r="AA163" s="8"/>
      <c r="AB163" s="8"/>
      <c r="AC163" s="8"/>
      <c r="AD163" s="8"/>
      <c r="AE163" s="8"/>
      <c r="AF163" s="8"/>
      <c r="AG163" s="8"/>
      <c r="AH163" s="8"/>
      <c r="AI163" s="8"/>
      <c r="AJ163" s="8"/>
      <c r="AK163" s="8"/>
      <c r="AL163" s="8"/>
      <c r="AM163" s="8"/>
      <c r="AN163" s="8"/>
    </row>
    <row r="164">
      <c r="A164" s="4">
        <v>42395.0</v>
      </c>
      <c r="B164" s="5" t="s">
        <v>25</v>
      </c>
      <c r="C164" s="5">
        <v>2016.0</v>
      </c>
      <c r="D164" s="14">
        <v>42398.0</v>
      </c>
      <c r="E164" s="5" t="s">
        <v>17</v>
      </c>
      <c r="F164" s="5" t="s">
        <v>18</v>
      </c>
      <c r="G164" s="5" t="s">
        <v>19</v>
      </c>
      <c r="H164" s="5"/>
      <c r="I164" s="5" t="s">
        <v>62</v>
      </c>
      <c r="J164" s="5" t="s">
        <v>21</v>
      </c>
      <c r="K164" s="5" t="s">
        <v>69</v>
      </c>
      <c r="L164" s="5">
        <v>47.405</v>
      </c>
      <c r="M164" s="5">
        <v>47.58</v>
      </c>
      <c r="N164" s="5" t="s">
        <v>25</v>
      </c>
      <c r="O164" s="7" t="s">
        <v>140</v>
      </c>
      <c r="P164" s="5"/>
      <c r="Q164" s="8"/>
      <c r="R164" s="8"/>
      <c r="S164" s="8"/>
      <c r="T164" s="8"/>
      <c r="U164" s="8"/>
      <c r="V164" s="8"/>
      <c r="W164" s="8"/>
      <c r="X164" s="8"/>
      <c r="Y164" s="8"/>
      <c r="Z164" s="8"/>
      <c r="AA164" s="8"/>
      <c r="AB164" s="8"/>
      <c r="AC164" s="8"/>
      <c r="AD164" s="8"/>
      <c r="AE164" s="8"/>
      <c r="AF164" s="8"/>
      <c r="AG164" s="8"/>
      <c r="AH164" s="8"/>
      <c r="AI164" s="8"/>
      <c r="AJ164" s="8"/>
      <c r="AK164" s="8"/>
      <c r="AL164" s="8"/>
      <c r="AM164" s="8"/>
      <c r="AN164" s="8"/>
    </row>
    <row r="165">
      <c r="A165" s="4">
        <v>42395.0</v>
      </c>
      <c r="B165" s="5" t="s">
        <v>25</v>
      </c>
      <c r="C165" s="5">
        <v>2016.0</v>
      </c>
      <c r="D165" s="14">
        <v>42491.0</v>
      </c>
      <c r="E165" s="5" t="s">
        <v>17</v>
      </c>
      <c r="F165" s="5" t="s">
        <v>18</v>
      </c>
      <c r="G165" s="5" t="s">
        <v>19</v>
      </c>
      <c r="H165" s="8"/>
      <c r="I165" s="5" t="s">
        <v>62</v>
      </c>
      <c r="J165" s="5" t="s">
        <v>40</v>
      </c>
      <c r="K165" s="5" t="s">
        <v>69</v>
      </c>
      <c r="L165" s="5">
        <v>47.405</v>
      </c>
      <c r="M165" s="5">
        <v>47.58</v>
      </c>
      <c r="N165" s="5" t="s">
        <v>25</v>
      </c>
      <c r="O165" s="7" t="s">
        <v>140</v>
      </c>
      <c r="P165" s="5"/>
      <c r="Q165" s="8"/>
      <c r="R165" s="8"/>
      <c r="S165" s="8"/>
      <c r="T165" s="8"/>
      <c r="U165" s="8"/>
      <c r="V165" s="8"/>
      <c r="W165" s="8"/>
      <c r="X165" s="8"/>
      <c r="Y165" s="8"/>
      <c r="Z165" s="8"/>
      <c r="AA165" s="8"/>
      <c r="AB165" s="8"/>
      <c r="AC165" s="8"/>
      <c r="AD165" s="8"/>
      <c r="AE165" s="8"/>
      <c r="AF165" s="8"/>
      <c r="AG165" s="8"/>
      <c r="AH165" s="8"/>
      <c r="AI165" s="8"/>
      <c r="AJ165" s="8"/>
      <c r="AK165" s="8"/>
      <c r="AL165" s="8"/>
      <c r="AM165" s="8"/>
      <c r="AN165" s="8"/>
    </row>
    <row r="166">
      <c r="A166" s="4">
        <v>42395.0</v>
      </c>
      <c r="B166" s="5" t="s">
        <v>25</v>
      </c>
      <c r="C166" s="5">
        <v>2016.0</v>
      </c>
      <c r="D166" s="14">
        <v>42522.0</v>
      </c>
      <c r="E166" s="5" t="s">
        <v>17</v>
      </c>
      <c r="F166" s="5" t="s">
        <v>18</v>
      </c>
      <c r="G166" s="5" t="s">
        <v>28</v>
      </c>
      <c r="H166" s="8"/>
      <c r="I166" s="5" t="s">
        <v>62</v>
      </c>
      <c r="J166" s="5" t="s">
        <v>40</v>
      </c>
      <c r="K166" s="5" t="s">
        <v>69</v>
      </c>
      <c r="L166" s="5">
        <v>47.405</v>
      </c>
      <c r="M166" s="5">
        <v>47.58</v>
      </c>
      <c r="N166" s="5" t="s">
        <v>25</v>
      </c>
      <c r="O166" s="7" t="s">
        <v>140</v>
      </c>
      <c r="P166" s="5"/>
      <c r="Q166" s="8"/>
      <c r="R166" s="8"/>
      <c r="S166" s="8"/>
      <c r="T166" s="8"/>
      <c r="U166" s="8"/>
      <c r="V166" s="8"/>
      <c r="W166" s="8"/>
      <c r="X166" s="8"/>
      <c r="Y166" s="8"/>
      <c r="Z166" s="8"/>
      <c r="AA166" s="8"/>
      <c r="AB166" s="8"/>
      <c r="AC166" s="8"/>
      <c r="AD166" s="8"/>
      <c r="AE166" s="8"/>
      <c r="AF166" s="8"/>
      <c r="AG166" s="8"/>
      <c r="AH166" s="8"/>
      <c r="AI166" s="8"/>
      <c r="AJ166" s="8"/>
      <c r="AK166" s="8"/>
      <c r="AL166" s="8"/>
      <c r="AM166" s="8"/>
      <c r="AN166" s="8"/>
    </row>
    <row r="167">
      <c r="A167" s="4">
        <v>42395.0</v>
      </c>
      <c r="B167" s="5" t="s">
        <v>25</v>
      </c>
      <c r="C167" s="5">
        <v>2016.0</v>
      </c>
      <c r="D167" s="14">
        <v>42397.0</v>
      </c>
      <c r="E167" s="5" t="s">
        <v>17</v>
      </c>
      <c r="F167" s="5" t="s">
        <v>18</v>
      </c>
      <c r="G167" s="5" t="s">
        <v>19</v>
      </c>
      <c r="H167" s="5"/>
      <c r="I167" s="5" t="s">
        <v>62</v>
      </c>
      <c r="J167" s="5" t="s">
        <v>21</v>
      </c>
      <c r="K167" s="5" t="s">
        <v>70</v>
      </c>
      <c r="L167" s="5">
        <v>48.02</v>
      </c>
      <c r="M167" s="5">
        <v>48.195</v>
      </c>
      <c r="N167" s="5" t="s">
        <v>25</v>
      </c>
      <c r="O167" s="7" t="s">
        <v>140</v>
      </c>
      <c r="P167" s="20"/>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row>
    <row r="168">
      <c r="A168" s="4">
        <v>42395.0</v>
      </c>
      <c r="B168" s="5" t="s">
        <v>25</v>
      </c>
      <c r="C168" s="5">
        <v>2016.0</v>
      </c>
      <c r="D168" s="14">
        <v>42429.0</v>
      </c>
      <c r="E168" s="5" t="s">
        <v>17</v>
      </c>
      <c r="F168" s="5" t="s">
        <v>18</v>
      </c>
      <c r="G168" s="5" t="s">
        <v>19</v>
      </c>
      <c r="H168" s="8"/>
      <c r="I168" s="5" t="s">
        <v>62</v>
      </c>
      <c r="J168" s="5" t="s">
        <v>40</v>
      </c>
      <c r="K168" s="5" t="s">
        <v>70</v>
      </c>
      <c r="L168" s="5">
        <v>48.02</v>
      </c>
      <c r="M168" s="5">
        <v>48.195</v>
      </c>
      <c r="N168" s="5" t="s">
        <v>25</v>
      </c>
      <c r="O168" s="7" t="s">
        <v>140</v>
      </c>
      <c r="P168" s="20"/>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row>
    <row r="169">
      <c r="A169" s="4">
        <v>42395.0</v>
      </c>
      <c r="B169" s="5" t="s">
        <v>25</v>
      </c>
      <c r="C169" s="5">
        <v>2016.0</v>
      </c>
      <c r="D169" s="14">
        <v>42460.0</v>
      </c>
      <c r="E169" s="5" t="s">
        <v>17</v>
      </c>
      <c r="F169" s="5" t="s">
        <v>18</v>
      </c>
      <c r="G169" s="5" t="s">
        <v>28</v>
      </c>
      <c r="H169" s="8"/>
      <c r="I169" s="5" t="s">
        <v>62</v>
      </c>
      <c r="J169" s="5" t="s">
        <v>40</v>
      </c>
      <c r="K169" s="5" t="s">
        <v>70</v>
      </c>
      <c r="L169" s="5">
        <v>48.02</v>
      </c>
      <c r="M169" s="5">
        <v>48.195</v>
      </c>
      <c r="N169" s="5" t="s">
        <v>25</v>
      </c>
      <c r="O169" s="7" t="s">
        <v>140</v>
      </c>
      <c r="P169" s="20"/>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row>
    <row r="170">
      <c r="A170" s="4">
        <v>42692.0</v>
      </c>
      <c r="B170" s="5" t="s">
        <v>16</v>
      </c>
      <c r="C170" s="5">
        <v>2016.0</v>
      </c>
      <c r="D170" s="14">
        <v>42692.0</v>
      </c>
      <c r="E170" s="5" t="s">
        <v>17</v>
      </c>
      <c r="F170" s="5" t="s">
        <v>141</v>
      </c>
      <c r="G170" s="5" t="s">
        <v>19</v>
      </c>
      <c r="H170" s="5"/>
      <c r="I170" s="5" t="s">
        <v>130</v>
      </c>
      <c r="J170" s="5" t="s">
        <v>21</v>
      </c>
      <c r="K170" s="5" t="s">
        <v>142</v>
      </c>
      <c r="L170" s="9">
        <v>42.0</v>
      </c>
      <c r="M170" s="5">
        <v>45.9414945</v>
      </c>
      <c r="N170" s="5" t="s">
        <v>23</v>
      </c>
      <c r="O170" s="7" t="s">
        <v>143</v>
      </c>
      <c r="P170" s="5" t="s">
        <v>144</v>
      </c>
      <c r="Q170" s="8"/>
      <c r="R170" s="8"/>
      <c r="S170" s="8"/>
      <c r="T170" s="8"/>
      <c r="U170" s="8"/>
      <c r="V170" s="8"/>
      <c r="W170" s="8"/>
      <c r="X170" s="8"/>
      <c r="Y170" s="8"/>
      <c r="Z170" s="8"/>
      <c r="AA170" s="8"/>
      <c r="AB170" s="8"/>
      <c r="AC170" s="8"/>
      <c r="AD170" s="8"/>
      <c r="AE170" s="8"/>
      <c r="AF170" s="8"/>
      <c r="AG170" s="8"/>
      <c r="AH170" s="8"/>
      <c r="AI170" s="8"/>
      <c r="AJ170" s="8"/>
      <c r="AK170" s="8"/>
      <c r="AL170" s="8"/>
      <c r="AM170" s="8"/>
      <c r="AN170" s="8"/>
    </row>
    <row r="171">
      <c r="A171" s="4">
        <v>42696.0</v>
      </c>
      <c r="B171" s="5" t="s">
        <v>16</v>
      </c>
      <c r="C171" s="5">
        <v>2016.0</v>
      </c>
      <c r="D171" s="6">
        <v>42705.0</v>
      </c>
      <c r="E171" s="5" t="s">
        <v>17</v>
      </c>
      <c r="F171" s="5" t="s">
        <v>18</v>
      </c>
      <c r="G171" s="5" t="s">
        <v>19</v>
      </c>
      <c r="H171" s="5"/>
      <c r="I171" s="5" t="s">
        <v>130</v>
      </c>
      <c r="J171" s="5" t="s">
        <v>21</v>
      </c>
      <c r="K171" s="5" t="s">
        <v>38</v>
      </c>
      <c r="L171" s="9">
        <v>42.0</v>
      </c>
      <c r="M171" s="5">
        <v>46.25</v>
      </c>
      <c r="N171" s="5" t="s">
        <v>23</v>
      </c>
      <c r="O171" s="10" t="s">
        <v>145</v>
      </c>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row>
    <row r="172">
      <c r="A172" s="4">
        <v>42696.0</v>
      </c>
      <c r="B172" s="5" t="s">
        <v>25</v>
      </c>
      <c r="C172" s="5">
        <v>2016.0</v>
      </c>
      <c r="D172" s="6">
        <v>42705.0</v>
      </c>
      <c r="E172" s="5" t="s">
        <v>17</v>
      </c>
      <c r="F172" s="5" t="s">
        <v>18</v>
      </c>
      <c r="G172" s="5" t="s">
        <v>19</v>
      </c>
      <c r="H172" s="5"/>
      <c r="I172" s="5" t="s">
        <v>130</v>
      </c>
      <c r="J172" s="5" t="s">
        <v>21</v>
      </c>
      <c r="K172" s="5" t="s">
        <v>41</v>
      </c>
      <c r="L172" s="5">
        <v>46.25</v>
      </c>
      <c r="M172" s="5">
        <v>46.28</v>
      </c>
      <c r="N172" s="5" t="s">
        <v>23</v>
      </c>
      <c r="O172" s="10" t="s">
        <v>146</v>
      </c>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row>
    <row r="173">
      <c r="A173" s="4">
        <v>42697.0</v>
      </c>
      <c r="B173" s="5" t="s">
        <v>25</v>
      </c>
      <c r="C173" s="5">
        <v>2016.0</v>
      </c>
      <c r="D173" s="6">
        <v>42705.0</v>
      </c>
      <c r="E173" s="5" t="s">
        <v>17</v>
      </c>
      <c r="F173" s="5" t="s">
        <v>18</v>
      </c>
      <c r="G173" s="5" t="s">
        <v>19</v>
      </c>
      <c r="H173" s="5"/>
      <c r="I173" s="5" t="s">
        <v>130</v>
      </c>
      <c r="J173" s="5" t="s">
        <v>21</v>
      </c>
      <c r="K173" s="5" t="s">
        <v>121</v>
      </c>
      <c r="L173" s="5">
        <v>46.28</v>
      </c>
      <c r="M173" s="5">
        <v>48.43333</v>
      </c>
      <c r="N173" s="5" t="s">
        <v>23</v>
      </c>
      <c r="O173" s="7" t="s">
        <v>147</v>
      </c>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row>
    <row r="174">
      <c r="A174" s="4">
        <v>42713.0</v>
      </c>
      <c r="B174" s="5" t="s">
        <v>16</v>
      </c>
      <c r="C174" s="5">
        <v>2016.0</v>
      </c>
      <c r="D174" s="14">
        <v>42722.0</v>
      </c>
      <c r="E174" s="5" t="s">
        <v>17</v>
      </c>
      <c r="F174" s="5" t="s">
        <v>18</v>
      </c>
      <c r="G174" s="5" t="s">
        <v>28</v>
      </c>
      <c r="H174" s="5"/>
      <c r="I174" s="5" t="s">
        <v>130</v>
      </c>
      <c r="J174" s="5" t="s">
        <v>21</v>
      </c>
      <c r="K174" s="5" t="s">
        <v>148</v>
      </c>
      <c r="L174" s="9">
        <v>42.0</v>
      </c>
      <c r="M174" s="5">
        <v>42.5</v>
      </c>
      <c r="N174" s="5" t="s">
        <v>23</v>
      </c>
      <c r="O174" s="10" t="s">
        <v>149</v>
      </c>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row>
    <row r="175">
      <c r="A175" s="4">
        <v>42725.0</v>
      </c>
      <c r="B175" s="5" t="s">
        <v>16</v>
      </c>
      <c r="C175" s="5">
        <v>2017.0</v>
      </c>
      <c r="D175" s="6">
        <v>42736.0</v>
      </c>
      <c r="E175" s="5" t="s">
        <v>17</v>
      </c>
      <c r="F175" s="5" t="s">
        <v>18</v>
      </c>
      <c r="G175" s="5" t="s">
        <v>28</v>
      </c>
      <c r="H175" s="5"/>
      <c r="I175" s="5" t="s">
        <v>130</v>
      </c>
      <c r="J175" s="5" t="s">
        <v>21</v>
      </c>
      <c r="K175" s="5" t="s">
        <v>150</v>
      </c>
      <c r="L175" s="5">
        <v>42.5</v>
      </c>
      <c r="M175" s="5">
        <v>46.25</v>
      </c>
      <c r="N175" s="5" t="s">
        <v>23</v>
      </c>
      <c r="O175" s="10" t="s">
        <v>151</v>
      </c>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row>
    <row r="176">
      <c r="A176" s="4">
        <v>42725.0</v>
      </c>
      <c r="B176" s="5" t="s">
        <v>25</v>
      </c>
      <c r="C176" s="5">
        <v>2017.0</v>
      </c>
      <c r="D176" s="6">
        <v>42736.0</v>
      </c>
      <c r="E176" s="5" t="s">
        <v>17</v>
      </c>
      <c r="F176" s="5" t="s">
        <v>18</v>
      </c>
      <c r="G176" s="5" t="s">
        <v>28</v>
      </c>
      <c r="H176" s="5"/>
      <c r="I176" s="5" t="s">
        <v>130</v>
      </c>
      <c r="J176" s="5" t="s">
        <v>21</v>
      </c>
      <c r="K176" s="5" t="s">
        <v>152</v>
      </c>
      <c r="L176" s="5">
        <v>42.5</v>
      </c>
      <c r="M176" s="5">
        <v>46.28</v>
      </c>
      <c r="N176" s="5" t="s">
        <v>23</v>
      </c>
      <c r="O176" s="7" t="s">
        <v>153</v>
      </c>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row>
    <row r="177">
      <c r="A177" s="4">
        <v>42725.0</v>
      </c>
      <c r="B177" s="5" t="s">
        <v>25</v>
      </c>
      <c r="C177" s="5">
        <v>2017.0</v>
      </c>
      <c r="D177" s="6">
        <v>42742.0</v>
      </c>
      <c r="E177" s="5" t="s">
        <v>17</v>
      </c>
      <c r="F177" s="5" t="s">
        <v>18</v>
      </c>
      <c r="G177" s="5" t="s">
        <v>28</v>
      </c>
      <c r="H177" s="5"/>
      <c r="I177" s="5" t="s">
        <v>130</v>
      </c>
      <c r="J177" s="5" t="s">
        <v>21</v>
      </c>
      <c r="K177" s="5" t="s">
        <v>154</v>
      </c>
      <c r="L177" s="5">
        <v>46.28</v>
      </c>
      <c r="M177" s="5">
        <v>47.317</v>
      </c>
      <c r="N177" s="5" t="s">
        <v>23</v>
      </c>
      <c r="O177" s="10" t="s">
        <v>153</v>
      </c>
      <c r="P177" s="5" t="s">
        <v>155</v>
      </c>
      <c r="Q177" s="8"/>
      <c r="R177" s="8"/>
      <c r="S177" s="8"/>
      <c r="T177" s="8"/>
      <c r="U177" s="8"/>
      <c r="V177" s="8"/>
      <c r="W177" s="8"/>
      <c r="X177" s="8"/>
      <c r="Y177" s="8"/>
      <c r="Z177" s="8"/>
      <c r="AA177" s="8"/>
      <c r="AB177" s="8"/>
      <c r="AC177" s="8"/>
      <c r="AD177" s="8"/>
      <c r="AE177" s="8"/>
      <c r="AF177" s="8"/>
      <c r="AG177" s="8"/>
      <c r="AH177" s="8"/>
      <c r="AI177" s="8"/>
      <c r="AJ177" s="8"/>
      <c r="AK177" s="8"/>
      <c r="AL177" s="8"/>
      <c r="AM177" s="8"/>
      <c r="AN177" s="8"/>
    </row>
    <row r="178">
      <c r="A178" s="4">
        <v>42745.0</v>
      </c>
      <c r="B178" s="5" t="s">
        <v>25</v>
      </c>
      <c r="C178" s="5">
        <v>2017.0</v>
      </c>
      <c r="D178" s="6">
        <v>42750.0</v>
      </c>
      <c r="E178" s="5" t="s">
        <v>17</v>
      </c>
      <c r="F178" s="5" t="s">
        <v>18</v>
      </c>
      <c r="G178" s="5" t="s">
        <v>28</v>
      </c>
      <c r="H178" s="5"/>
      <c r="I178" s="5" t="s">
        <v>130</v>
      </c>
      <c r="J178" s="5" t="s">
        <v>21</v>
      </c>
      <c r="K178" s="5" t="s">
        <v>156</v>
      </c>
      <c r="L178" s="5">
        <v>47.317</v>
      </c>
      <c r="M178" s="5">
        <v>48.43333</v>
      </c>
      <c r="N178" s="5" t="s">
        <v>23</v>
      </c>
      <c r="O178" s="10" t="s">
        <v>157</v>
      </c>
      <c r="P178" s="5"/>
      <c r="Q178" s="8"/>
      <c r="R178" s="8"/>
      <c r="S178" s="8"/>
      <c r="T178" s="8"/>
      <c r="U178" s="8"/>
      <c r="V178" s="8"/>
      <c r="W178" s="8"/>
      <c r="X178" s="8"/>
      <c r="Y178" s="8"/>
      <c r="Z178" s="8"/>
      <c r="AA178" s="8"/>
      <c r="AB178" s="8"/>
      <c r="AC178" s="8"/>
      <c r="AD178" s="8"/>
      <c r="AE178" s="8"/>
      <c r="AF178" s="8"/>
      <c r="AG178" s="8"/>
      <c r="AH178" s="8"/>
      <c r="AI178" s="8"/>
      <c r="AJ178" s="8"/>
      <c r="AK178" s="8"/>
      <c r="AL178" s="8"/>
      <c r="AM178" s="8"/>
      <c r="AN178" s="8"/>
    </row>
    <row r="179">
      <c r="A179" s="4">
        <v>42697.0</v>
      </c>
      <c r="B179" s="5" t="s">
        <v>25</v>
      </c>
      <c r="C179" s="5">
        <v>2017.0</v>
      </c>
      <c r="D179" s="6">
        <v>42739.0</v>
      </c>
      <c r="E179" s="5" t="s">
        <v>17</v>
      </c>
      <c r="F179" s="5" t="s">
        <v>18</v>
      </c>
      <c r="G179" s="5" t="s">
        <v>19</v>
      </c>
      <c r="H179" s="5"/>
      <c r="I179" s="5" t="s">
        <v>62</v>
      </c>
      <c r="J179" s="5" t="s">
        <v>21</v>
      </c>
      <c r="K179" s="5" t="s">
        <v>63</v>
      </c>
      <c r="L179" s="5">
        <v>47.08</v>
      </c>
      <c r="M179" s="5">
        <v>47.28</v>
      </c>
      <c r="N179" s="5" t="s">
        <v>23</v>
      </c>
      <c r="O179" s="10" t="s">
        <v>147</v>
      </c>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row>
    <row r="180">
      <c r="A180" s="4">
        <v>42697.0</v>
      </c>
      <c r="B180" s="5" t="s">
        <v>25</v>
      </c>
      <c r="C180" s="5">
        <v>2017.0</v>
      </c>
      <c r="D180" s="6">
        <v>42798.0</v>
      </c>
      <c r="E180" s="5" t="s">
        <v>17</v>
      </c>
      <c r="F180" s="5" t="s">
        <v>18</v>
      </c>
      <c r="G180" s="5" t="s">
        <v>28</v>
      </c>
      <c r="H180" s="5"/>
      <c r="I180" s="5" t="s">
        <v>62</v>
      </c>
      <c r="J180" s="5" t="s">
        <v>21</v>
      </c>
      <c r="K180" s="5" t="s">
        <v>85</v>
      </c>
      <c r="L180" s="5">
        <v>47.245</v>
      </c>
      <c r="M180" s="5">
        <v>47.28</v>
      </c>
      <c r="N180" s="5" t="s">
        <v>23</v>
      </c>
      <c r="O180" s="10" t="s">
        <v>147</v>
      </c>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row>
    <row r="181">
      <c r="A181" s="4">
        <v>42745.0</v>
      </c>
      <c r="B181" s="5" t="s">
        <v>25</v>
      </c>
      <c r="C181" s="5">
        <v>2017.0</v>
      </c>
      <c r="D181" s="6">
        <v>42747.0</v>
      </c>
      <c r="E181" s="5" t="s">
        <v>17</v>
      </c>
      <c r="F181" s="5" t="s">
        <v>18</v>
      </c>
      <c r="G181" s="5" t="s">
        <v>19</v>
      </c>
      <c r="H181" s="5"/>
      <c r="I181" s="5" t="s">
        <v>62</v>
      </c>
      <c r="J181" s="5" t="s">
        <v>21</v>
      </c>
      <c r="K181" s="5" t="s">
        <v>69</v>
      </c>
      <c r="L181" s="5">
        <v>47.405</v>
      </c>
      <c r="M181" s="5">
        <v>47.58</v>
      </c>
      <c r="N181" s="5" t="s">
        <v>23</v>
      </c>
      <c r="O181" s="7" t="s">
        <v>157</v>
      </c>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row>
    <row r="182">
      <c r="A182" s="4">
        <v>42745.0</v>
      </c>
      <c r="B182" s="5" t="s">
        <v>25</v>
      </c>
      <c r="C182" s="5">
        <v>2017.0</v>
      </c>
      <c r="D182" s="6">
        <v>42856.0</v>
      </c>
      <c r="E182" s="5" t="s">
        <v>17</v>
      </c>
      <c r="F182" s="5" t="s">
        <v>18</v>
      </c>
      <c r="G182" s="5" t="s">
        <v>19</v>
      </c>
      <c r="H182" s="5"/>
      <c r="I182" s="5" t="s">
        <v>62</v>
      </c>
      <c r="J182" s="5" t="s">
        <v>40</v>
      </c>
      <c r="K182" s="5" t="s">
        <v>69</v>
      </c>
      <c r="L182" s="5">
        <v>47.405</v>
      </c>
      <c r="M182" s="5">
        <v>47.58</v>
      </c>
      <c r="N182" s="5" t="s">
        <v>23</v>
      </c>
      <c r="O182" s="7" t="s">
        <v>157</v>
      </c>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row>
    <row r="183">
      <c r="A183" s="4">
        <v>42745.0</v>
      </c>
      <c r="B183" s="5" t="s">
        <v>25</v>
      </c>
      <c r="C183" s="5">
        <v>2017.0</v>
      </c>
      <c r="D183" s="6">
        <v>42887.0</v>
      </c>
      <c r="E183" s="5" t="s">
        <v>17</v>
      </c>
      <c r="F183" s="5" t="s">
        <v>18</v>
      </c>
      <c r="G183" s="5" t="s">
        <v>28</v>
      </c>
      <c r="H183" s="5"/>
      <c r="I183" s="5" t="s">
        <v>62</v>
      </c>
      <c r="J183" s="5" t="s">
        <v>40</v>
      </c>
      <c r="K183" s="5" t="s">
        <v>69</v>
      </c>
      <c r="L183" s="5">
        <v>47.405</v>
      </c>
      <c r="M183" s="5">
        <v>47.58</v>
      </c>
      <c r="N183" s="5" t="s">
        <v>23</v>
      </c>
      <c r="O183" s="7" t="s">
        <v>157</v>
      </c>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row>
    <row r="184">
      <c r="A184" s="4">
        <v>42745.0</v>
      </c>
      <c r="B184" s="5" t="s">
        <v>25</v>
      </c>
      <c r="C184" s="5">
        <v>2017.0</v>
      </c>
      <c r="D184" s="6">
        <v>42747.0</v>
      </c>
      <c r="E184" s="5" t="s">
        <v>17</v>
      </c>
      <c r="F184" s="5" t="s">
        <v>18</v>
      </c>
      <c r="G184" s="5" t="s">
        <v>19</v>
      </c>
      <c r="H184" s="5"/>
      <c r="I184" s="5" t="s">
        <v>62</v>
      </c>
      <c r="J184" s="5" t="s">
        <v>21</v>
      </c>
      <c r="K184" s="5" t="s">
        <v>70</v>
      </c>
      <c r="L184" s="5">
        <v>48.02</v>
      </c>
      <c r="M184" s="5">
        <v>48.195</v>
      </c>
      <c r="N184" s="5" t="s">
        <v>23</v>
      </c>
      <c r="O184" s="7" t="s">
        <v>157</v>
      </c>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row>
    <row r="185">
      <c r="A185" s="4">
        <v>42776.0</v>
      </c>
      <c r="B185" s="5" t="s">
        <v>25</v>
      </c>
      <c r="C185" s="5">
        <v>2017.0</v>
      </c>
      <c r="D185" s="6">
        <v>42778.0</v>
      </c>
      <c r="E185" s="5" t="s">
        <v>17</v>
      </c>
      <c r="F185" s="5" t="s">
        <v>18</v>
      </c>
      <c r="G185" s="5" t="s">
        <v>19</v>
      </c>
      <c r="H185" s="5"/>
      <c r="I185" s="5" t="s">
        <v>62</v>
      </c>
      <c r="J185" s="5" t="s">
        <v>40</v>
      </c>
      <c r="K185" s="5" t="s">
        <v>70</v>
      </c>
      <c r="L185" s="5">
        <v>48.02</v>
      </c>
      <c r="M185" s="5">
        <v>48.195</v>
      </c>
      <c r="N185" s="5" t="s">
        <v>23</v>
      </c>
      <c r="O185" s="10" t="s">
        <v>158</v>
      </c>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row>
    <row r="186">
      <c r="A186" s="4">
        <v>42776.0</v>
      </c>
      <c r="B186" s="5" t="s">
        <v>25</v>
      </c>
      <c r="C186" s="5">
        <v>2017.0</v>
      </c>
      <c r="D186" s="6">
        <v>42810.0</v>
      </c>
      <c r="E186" s="5" t="s">
        <v>17</v>
      </c>
      <c r="F186" s="5" t="s">
        <v>18</v>
      </c>
      <c r="G186" s="5" t="s">
        <v>28</v>
      </c>
      <c r="H186" s="5"/>
      <c r="I186" s="5" t="s">
        <v>62</v>
      </c>
      <c r="J186" s="5" t="s">
        <v>40</v>
      </c>
      <c r="K186" s="5" t="s">
        <v>70</v>
      </c>
      <c r="L186" s="5">
        <v>48.02</v>
      </c>
      <c r="M186" s="5">
        <v>48.195</v>
      </c>
      <c r="N186" s="5" t="s">
        <v>23</v>
      </c>
      <c r="O186" s="10" t="s">
        <v>158</v>
      </c>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row>
    <row r="187">
      <c r="A187" s="4">
        <v>42768.0</v>
      </c>
      <c r="B187" s="5" t="s">
        <v>16</v>
      </c>
      <c r="C187" s="5">
        <v>2017.0</v>
      </c>
      <c r="D187" s="6">
        <v>42768.0</v>
      </c>
      <c r="E187" s="5" t="s">
        <v>17</v>
      </c>
      <c r="F187" s="5" t="s">
        <v>49</v>
      </c>
      <c r="G187" s="5" t="s">
        <v>19</v>
      </c>
      <c r="H187" s="22"/>
      <c r="I187" s="23" t="s">
        <v>130</v>
      </c>
      <c r="J187" s="5" t="s">
        <v>21</v>
      </c>
      <c r="K187" s="5" t="s">
        <v>159</v>
      </c>
      <c r="L187" s="5">
        <v>43.216</v>
      </c>
      <c r="M187" s="5">
        <v>44.083</v>
      </c>
      <c r="N187" s="5" t="s">
        <v>23</v>
      </c>
      <c r="O187" s="7" t="s">
        <v>160</v>
      </c>
      <c r="P187" s="15" t="s">
        <v>161</v>
      </c>
      <c r="Q187" s="8"/>
      <c r="R187" s="8"/>
      <c r="S187" s="8"/>
      <c r="T187" s="8"/>
      <c r="U187" s="8"/>
      <c r="V187" s="8"/>
      <c r="W187" s="8"/>
      <c r="X187" s="8"/>
      <c r="Y187" s="8"/>
      <c r="Z187" s="8"/>
      <c r="AA187" s="8"/>
      <c r="AB187" s="8"/>
      <c r="AC187" s="8"/>
      <c r="AD187" s="8"/>
      <c r="AE187" s="8"/>
      <c r="AF187" s="8"/>
      <c r="AG187" s="8"/>
      <c r="AH187" s="8"/>
      <c r="AI187" s="8"/>
      <c r="AJ187" s="8"/>
      <c r="AK187" s="8"/>
      <c r="AL187" s="8"/>
      <c r="AM187" s="8"/>
      <c r="AN187" s="8"/>
    </row>
    <row r="188">
      <c r="A188" s="4">
        <v>42774.0</v>
      </c>
      <c r="B188" s="5" t="s">
        <v>16</v>
      </c>
      <c r="C188" s="5">
        <v>2017.0</v>
      </c>
      <c r="D188" s="6">
        <v>42774.0</v>
      </c>
      <c r="E188" s="5" t="s">
        <v>17</v>
      </c>
      <c r="F188" s="5" t="s">
        <v>18</v>
      </c>
      <c r="G188" s="5" t="s">
        <v>19</v>
      </c>
      <c r="H188" s="5"/>
      <c r="I188" s="5" t="s">
        <v>130</v>
      </c>
      <c r="J188" s="5" t="s">
        <v>162</v>
      </c>
      <c r="K188" s="5" t="s">
        <v>159</v>
      </c>
      <c r="L188" s="5">
        <v>43.216</v>
      </c>
      <c r="M188" s="5">
        <v>44.083</v>
      </c>
      <c r="N188" s="5" t="s">
        <v>23</v>
      </c>
      <c r="O188" s="10" t="s">
        <v>163</v>
      </c>
      <c r="P188" s="5"/>
      <c r="Q188" s="8"/>
      <c r="R188" s="8"/>
      <c r="S188" s="8"/>
      <c r="T188" s="8"/>
      <c r="U188" s="8"/>
      <c r="V188" s="8"/>
      <c r="W188" s="8"/>
      <c r="X188" s="8"/>
      <c r="Y188" s="8"/>
      <c r="Z188" s="8"/>
      <c r="AA188" s="8"/>
      <c r="AB188" s="8"/>
      <c r="AC188" s="8"/>
      <c r="AD188" s="8"/>
      <c r="AE188" s="8"/>
      <c r="AF188" s="8"/>
      <c r="AG188" s="8"/>
      <c r="AH188" s="8"/>
      <c r="AI188" s="8"/>
      <c r="AJ188" s="8"/>
      <c r="AK188" s="8"/>
      <c r="AL188" s="8"/>
      <c r="AM188" s="8"/>
      <c r="AN188" s="8"/>
    </row>
    <row r="189">
      <c r="A189" s="4">
        <v>42776.0</v>
      </c>
      <c r="B189" s="5" t="s">
        <v>16</v>
      </c>
      <c r="C189" s="5">
        <v>2017.0</v>
      </c>
      <c r="D189" s="6">
        <v>42776.0</v>
      </c>
      <c r="E189" s="5" t="s">
        <v>17</v>
      </c>
      <c r="F189" s="5" t="s">
        <v>18</v>
      </c>
      <c r="G189" s="5" t="s">
        <v>28</v>
      </c>
      <c r="H189" s="5"/>
      <c r="I189" s="12" t="s">
        <v>130</v>
      </c>
      <c r="J189" s="5" t="s">
        <v>162</v>
      </c>
      <c r="K189" s="5" t="s">
        <v>159</v>
      </c>
      <c r="L189" s="5">
        <v>43.216</v>
      </c>
      <c r="M189" s="5">
        <v>44.083</v>
      </c>
      <c r="N189" s="5" t="s">
        <v>23</v>
      </c>
      <c r="O189" s="7" t="s">
        <v>164</v>
      </c>
      <c r="P189" s="5"/>
      <c r="Q189" s="8"/>
      <c r="R189" s="8"/>
      <c r="S189" s="8"/>
      <c r="T189" s="8"/>
      <c r="U189" s="8"/>
      <c r="V189" s="8"/>
      <c r="W189" s="8"/>
      <c r="X189" s="8"/>
      <c r="Y189" s="8"/>
      <c r="Z189" s="8"/>
      <c r="AA189" s="8"/>
      <c r="AB189" s="8"/>
      <c r="AC189" s="8"/>
      <c r="AD189" s="8"/>
      <c r="AE189" s="8"/>
      <c r="AF189" s="8"/>
      <c r="AG189" s="8"/>
      <c r="AH189" s="8"/>
      <c r="AI189" s="8"/>
      <c r="AJ189" s="8"/>
      <c r="AK189" s="8"/>
      <c r="AL189" s="8"/>
      <c r="AM189" s="8"/>
      <c r="AN189" s="8"/>
    </row>
    <row r="190">
      <c r="A190" s="4">
        <v>43056.0</v>
      </c>
      <c r="B190" s="5" t="s">
        <v>25</v>
      </c>
      <c r="C190" s="5">
        <v>2017.0</v>
      </c>
      <c r="D190" s="6">
        <v>43070.0</v>
      </c>
      <c r="E190" s="5" t="s">
        <v>17</v>
      </c>
      <c r="F190" s="5" t="s">
        <v>18</v>
      </c>
      <c r="G190" s="5" t="s">
        <v>19</v>
      </c>
      <c r="H190" s="5"/>
      <c r="I190" s="5" t="s">
        <v>20</v>
      </c>
      <c r="J190" s="5" t="s">
        <v>21</v>
      </c>
      <c r="K190" s="5" t="s">
        <v>165</v>
      </c>
      <c r="L190" s="5">
        <v>46.25</v>
      </c>
      <c r="M190" s="5">
        <v>48.43333</v>
      </c>
      <c r="N190" s="5" t="s">
        <v>23</v>
      </c>
      <c r="O190" s="7" t="s">
        <v>166</v>
      </c>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row>
    <row r="191">
      <c r="A191" s="4">
        <v>43059.0</v>
      </c>
      <c r="B191" s="5" t="s">
        <v>57</v>
      </c>
      <c r="C191" s="5">
        <v>2017.0</v>
      </c>
      <c r="D191" s="6">
        <v>43070.0</v>
      </c>
      <c r="E191" s="5" t="s">
        <v>17</v>
      </c>
      <c r="F191" s="5" t="s">
        <v>18</v>
      </c>
      <c r="G191" s="5" t="s">
        <v>19</v>
      </c>
      <c r="H191" s="5"/>
      <c r="I191" s="5" t="s">
        <v>20</v>
      </c>
      <c r="J191" s="5" t="s">
        <v>21</v>
      </c>
      <c r="K191" s="5" t="s">
        <v>58</v>
      </c>
      <c r="L191" s="5">
        <v>38.7666488</v>
      </c>
      <c r="M191" s="5">
        <v>42.0</v>
      </c>
      <c r="N191" s="5" t="s">
        <v>23</v>
      </c>
      <c r="O191" s="7" t="s">
        <v>167</v>
      </c>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row>
    <row r="192">
      <c r="A192" s="4">
        <v>43061.0</v>
      </c>
      <c r="B192" s="5" t="s">
        <v>16</v>
      </c>
      <c r="C192" s="5">
        <v>2017.0</v>
      </c>
      <c r="D192" s="6">
        <v>43070.0</v>
      </c>
      <c r="E192" s="5" t="s">
        <v>17</v>
      </c>
      <c r="F192" s="5" t="s">
        <v>18</v>
      </c>
      <c r="G192" s="5" t="s">
        <v>19</v>
      </c>
      <c r="H192" s="5"/>
      <c r="I192" s="5" t="s">
        <v>168</v>
      </c>
      <c r="J192" s="5" t="s">
        <v>21</v>
      </c>
      <c r="K192" s="5" t="s">
        <v>38</v>
      </c>
      <c r="L192" s="9">
        <v>42.0</v>
      </c>
      <c r="M192" s="5">
        <v>46.25</v>
      </c>
      <c r="N192" s="5" t="s">
        <v>23</v>
      </c>
      <c r="O192" s="7" t="s">
        <v>169</v>
      </c>
      <c r="P192" s="5" t="s">
        <v>170</v>
      </c>
      <c r="Q192" s="8"/>
      <c r="R192" s="8"/>
      <c r="S192" s="8"/>
      <c r="T192" s="8"/>
      <c r="U192" s="8"/>
      <c r="V192" s="8"/>
      <c r="W192" s="8"/>
      <c r="X192" s="8"/>
      <c r="Y192" s="8"/>
      <c r="Z192" s="8"/>
      <c r="AA192" s="8"/>
      <c r="AB192" s="8"/>
      <c r="AC192" s="8"/>
      <c r="AD192" s="8"/>
      <c r="AE192" s="8"/>
      <c r="AF192" s="8"/>
      <c r="AG192" s="8"/>
      <c r="AH192" s="8"/>
      <c r="AI192" s="8"/>
      <c r="AJ192" s="8"/>
      <c r="AK192" s="8"/>
      <c r="AL192" s="8"/>
      <c r="AM192" s="8"/>
      <c r="AN192" s="8"/>
    </row>
    <row r="193">
      <c r="A193" s="4">
        <v>43076.0</v>
      </c>
      <c r="B193" s="5" t="s">
        <v>25</v>
      </c>
      <c r="C193" s="5">
        <v>2017.0</v>
      </c>
      <c r="D193" s="6">
        <v>43100.0</v>
      </c>
      <c r="E193" s="5" t="s">
        <v>17</v>
      </c>
      <c r="F193" s="5" t="s">
        <v>18</v>
      </c>
      <c r="G193" s="5" t="s">
        <v>28</v>
      </c>
      <c r="H193" s="5"/>
      <c r="I193" s="5" t="s">
        <v>20</v>
      </c>
      <c r="J193" s="5" t="s">
        <v>21</v>
      </c>
      <c r="K193" s="5" t="s">
        <v>171</v>
      </c>
      <c r="L193" s="5">
        <v>38.7666488</v>
      </c>
      <c r="M193" s="5">
        <v>46.28</v>
      </c>
      <c r="N193" s="5" t="s">
        <v>23</v>
      </c>
      <c r="O193" s="7" t="s">
        <v>172</v>
      </c>
      <c r="P193" s="5"/>
      <c r="Q193" s="8"/>
      <c r="R193" s="8"/>
      <c r="S193" s="8"/>
      <c r="T193" s="8"/>
      <c r="U193" s="8"/>
      <c r="V193" s="8"/>
      <c r="W193" s="8"/>
      <c r="X193" s="8"/>
      <c r="Y193" s="8"/>
      <c r="Z193" s="8"/>
      <c r="AA193" s="8"/>
      <c r="AB193" s="8"/>
      <c r="AC193" s="8"/>
      <c r="AD193" s="8"/>
      <c r="AE193" s="8"/>
      <c r="AF193" s="8"/>
      <c r="AG193" s="8"/>
      <c r="AH193" s="8"/>
      <c r="AI193" s="8"/>
      <c r="AJ193" s="8"/>
      <c r="AK193" s="8"/>
      <c r="AL193" s="8"/>
      <c r="AM193" s="8"/>
      <c r="AN193" s="8"/>
    </row>
    <row r="194">
      <c r="A194" s="4">
        <v>43110.0</v>
      </c>
      <c r="B194" s="5" t="s">
        <v>25</v>
      </c>
      <c r="C194" s="5">
        <v>2018.0</v>
      </c>
      <c r="D194" s="6">
        <v>43128.0</v>
      </c>
      <c r="E194" s="5" t="s">
        <v>17</v>
      </c>
      <c r="F194" s="5" t="s">
        <v>18</v>
      </c>
      <c r="G194" s="5" t="s">
        <v>28</v>
      </c>
      <c r="H194" s="5"/>
      <c r="I194" s="5" t="s">
        <v>20</v>
      </c>
      <c r="J194" s="5" t="s">
        <v>21</v>
      </c>
      <c r="K194" s="5" t="s">
        <v>121</v>
      </c>
      <c r="L194" s="5">
        <v>46.28</v>
      </c>
      <c r="M194" s="5">
        <v>48.43333</v>
      </c>
      <c r="N194" s="5" t="s">
        <v>23</v>
      </c>
      <c r="O194" s="7" t="s">
        <v>173</v>
      </c>
      <c r="P194" s="5" t="s">
        <v>174</v>
      </c>
      <c r="Q194" s="8"/>
      <c r="R194" s="8"/>
      <c r="S194" s="8"/>
      <c r="T194" s="8"/>
      <c r="U194" s="8"/>
      <c r="V194" s="8"/>
      <c r="W194" s="8"/>
      <c r="X194" s="8"/>
      <c r="Y194" s="8"/>
      <c r="Z194" s="8"/>
      <c r="AA194" s="8"/>
      <c r="AB194" s="8"/>
      <c r="AC194" s="8"/>
      <c r="AD194" s="8"/>
      <c r="AE194" s="8"/>
      <c r="AF194" s="8"/>
      <c r="AG194" s="8"/>
      <c r="AH194" s="8"/>
      <c r="AI194" s="8"/>
      <c r="AJ194" s="8"/>
      <c r="AK194" s="8"/>
      <c r="AL194" s="8"/>
      <c r="AM194" s="8"/>
      <c r="AN194" s="8"/>
    </row>
    <row r="195">
      <c r="A195" s="4">
        <v>43110.0</v>
      </c>
      <c r="B195" s="5" t="s">
        <v>25</v>
      </c>
      <c r="C195" s="5">
        <v>2018.0</v>
      </c>
      <c r="D195" s="6">
        <v>43125.0</v>
      </c>
      <c r="E195" s="5" t="s">
        <v>17</v>
      </c>
      <c r="F195" s="5" t="s">
        <v>18</v>
      </c>
      <c r="G195" s="5" t="s">
        <v>28</v>
      </c>
      <c r="H195" s="5"/>
      <c r="I195" s="5" t="s">
        <v>20</v>
      </c>
      <c r="J195" s="5" t="s">
        <v>40</v>
      </c>
      <c r="K195" s="5" t="s">
        <v>41</v>
      </c>
      <c r="L195" s="5">
        <v>46.25</v>
      </c>
      <c r="M195" s="5">
        <v>46.28</v>
      </c>
      <c r="N195" s="5" t="s">
        <v>23</v>
      </c>
      <c r="O195" s="7" t="s">
        <v>173</v>
      </c>
      <c r="P195" s="5" t="s">
        <v>174</v>
      </c>
      <c r="Q195" s="8"/>
      <c r="R195" s="8"/>
      <c r="S195" s="8"/>
      <c r="T195" s="8"/>
      <c r="U195" s="8"/>
      <c r="V195" s="8"/>
      <c r="W195" s="8"/>
      <c r="X195" s="8"/>
      <c r="Y195" s="8"/>
      <c r="Z195" s="8"/>
      <c r="AA195" s="8"/>
      <c r="AB195" s="8"/>
      <c r="AC195" s="8"/>
      <c r="AD195" s="8"/>
      <c r="AE195" s="8"/>
      <c r="AF195" s="8"/>
      <c r="AG195" s="8"/>
      <c r="AH195" s="8"/>
      <c r="AI195" s="8"/>
      <c r="AJ195" s="8"/>
      <c r="AK195" s="8"/>
      <c r="AL195" s="8"/>
      <c r="AM195" s="8"/>
      <c r="AN195" s="8"/>
    </row>
    <row r="196">
      <c r="A196" s="4">
        <v>43110.0</v>
      </c>
      <c r="B196" s="5" t="s">
        <v>25</v>
      </c>
      <c r="C196" s="5">
        <v>2018.0</v>
      </c>
      <c r="D196" s="6">
        <v>43125.0</v>
      </c>
      <c r="E196" s="5" t="s">
        <v>17</v>
      </c>
      <c r="F196" s="5" t="s">
        <v>18</v>
      </c>
      <c r="G196" s="5" t="s">
        <v>19</v>
      </c>
      <c r="H196" s="5"/>
      <c r="I196" s="5" t="s">
        <v>62</v>
      </c>
      <c r="J196" s="5" t="s">
        <v>21</v>
      </c>
      <c r="K196" s="5" t="s">
        <v>63</v>
      </c>
      <c r="L196" s="5">
        <v>47.08</v>
      </c>
      <c r="M196" s="5">
        <v>47.28</v>
      </c>
      <c r="N196" s="5" t="s">
        <v>23</v>
      </c>
      <c r="O196" s="7" t="s">
        <v>173</v>
      </c>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row>
    <row r="197">
      <c r="A197" s="4">
        <v>43110.0</v>
      </c>
      <c r="B197" s="5" t="s">
        <v>25</v>
      </c>
      <c r="C197" s="5">
        <v>2018.0</v>
      </c>
      <c r="D197" s="6">
        <v>43125.0</v>
      </c>
      <c r="E197" s="5" t="s">
        <v>17</v>
      </c>
      <c r="F197" s="5" t="s">
        <v>18</v>
      </c>
      <c r="G197" s="5" t="s">
        <v>19</v>
      </c>
      <c r="H197" s="5"/>
      <c r="I197" s="5" t="s">
        <v>62</v>
      </c>
      <c r="J197" s="5" t="s">
        <v>21</v>
      </c>
      <c r="K197" s="5" t="s">
        <v>69</v>
      </c>
      <c r="L197" s="5">
        <v>47.405</v>
      </c>
      <c r="M197" s="5">
        <v>47.58</v>
      </c>
      <c r="N197" s="5" t="s">
        <v>23</v>
      </c>
      <c r="O197" s="7" t="s">
        <v>173</v>
      </c>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row>
    <row r="198">
      <c r="A198" s="4">
        <v>43110.0</v>
      </c>
      <c r="B198" s="5" t="s">
        <v>25</v>
      </c>
      <c r="C198" s="5">
        <v>2018.0</v>
      </c>
      <c r="D198" s="6">
        <v>43221.0</v>
      </c>
      <c r="E198" s="5" t="s">
        <v>17</v>
      </c>
      <c r="F198" s="5" t="s">
        <v>18</v>
      </c>
      <c r="G198" s="5" t="s">
        <v>19</v>
      </c>
      <c r="H198" s="5"/>
      <c r="I198" s="5" t="s">
        <v>62</v>
      </c>
      <c r="J198" s="5" t="s">
        <v>40</v>
      </c>
      <c r="K198" s="5" t="s">
        <v>69</v>
      </c>
      <c r="L198" s="5">
        <v>47.405</v>
      </c>
      <c r="M198" s="5">
        <v>47.58</v>
      </c>
      <c r="N198" s="5" t="s">
        <v>23</v>
      </c>
      <c r="O198" s="7" t="s">
        <v>173</v>
      </c>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row>
    <row r="199">
      <c r="A199" s="4">
        <v>43110.0</v>
      </c>
      <c r="B199" s="5" t="s">
        <v>25</v>
      </c>
      <c r="C199" s="5">
        <v>2018.0</v>
      </c>
      <c r="D199" s="6">
        <v>43252.0</v>
      </c>
      <c r="E199" s="5" t="s">
        <v>17</v>
      </c>
      <c r="F199" s="5" t="s">
        <v>18</v>
      </c>
      <c r="G199" s="5" t="s">
        <v>28</v>
      </c>
      <c r="H199" s="5"/>
      <c r="I199" s="5" t="s">
        <v>62</v>
      </c>
      <c r="J199" s="5" t="s">
        <v>40</v>
      </c>
      <c r="K199" s="5" t="s">
        <v>69</v>
      </c>
      <c r="L199" s="5">
        <v>47.405</v>
      </c>
      <c r="M199" s="5">
        <v>47.58</v>
      </c>
      <c r="N199" s="5" t="s">
        <v>23</v>
      </c>
      <c r="O199" s="7" t="s">
        <v>173</v>
      </c>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row>
    <row r="200">
      <c r="A200" s="4">
        <v>43110.0</v>
      </c>
      <c r="B200" s="5" t="s">
        <v>25</v>
      </c>
      <c r="C200" s="5">
        <v>2018.0</v>
      </c>
      <c r="D200" s="6">
        <v>43125.0</v>
      </c>
      <c r="E200" s="5" t="s">
        <v>17</v>
      </c>
      <c r="F200" s="5" t="s">
        <v>18</v>
      </c>
      <c r="G200" s="5" t="s">
        <v>19</v>
      </c>
      <c r="H200" s="5"/>
      <c r="I200" s="5" t="s">
        <v>62</v>
      </c>
      <c r="J200" s="5" t="s">
        <v>21</v>
      </c>
      <c r="K200" s="5" t="s">
        <v>70</v>
      </c>
      <c r="L200" s="5">
        <v>48.02</v>
      </c>
      <c r="M200" s="5">
        <v>48.195</v>
      </c>
      <c r="N200" s="5" t="s">
        <v>23</v>
      </c>
      <c r="O200" s="7" t="s">
        <v>173</v>
      </c>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row>
    <row r="201">
      <c r="A201" s="4">
        <v>43110.0</v>
      </c>
      <c r="B201" s="5" t="s">
        <v>25</v>
      </c>
      <c r="C201" s="5">
        <v>2018.0</v>
      </c>
      <c r="D201" s="6">
        <v>43156.0</v>
      </c>
      <c r="E201" s="5" t="s">
        <v>17</v>
      </c>
      <c r="F201" s="5" t="s">
        <v>18</v>
      </c>
      <c r="G201" s="5" t="s">
        <v>19</v>
      </c>
      <c r="H201" s="5"/>
      <c r="I201" s="5" t="s">
        <v>62</v>
      </c>
      <c r="J201" s="5" t="s">
        <v>40</v>
      </c>
      <c r="K201" s="5" t="s">
        <v>70</v>
      </c>
      <c r="L201" s="5">
        <v>48.02</v>
      </c>
      <c r="M201" s="5">
        <v>48.195</v>
      </c>
      <c r="N201" s="5" t="s">
        <v>23</v>
      </c>
      <c r="O201" s="7" t="s">
        <v>173</v>
      </c>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row>
    <row r="202">
      <c r="A202" s="4">
        <v>43110.0</v>
      </c>
      <c r="B202" s="5" t="s">
        <v>25</v>
      </c>
      <c r="C202" s="5">
        <v>2018.0</v>
      </c>
      <c r="D202" s="6">
        <v>43159.0</v>
      </c>
      <c r="E202" s="5" t="s">
        <v>17</v>
      </c>
      <c r="F202" s="5" t="s">
        <v>18</v>
      </c>
      <c r="G202" s="5" t="s">
        <v>28</v>
      </c>
      <c r="H202" s="5"/>
      <c r="I202" s="5" t="s">
        <v>62</v>
      </c>
      <c r="J202" s="5" t="s">
        <v>40</v>
      </c>
      <c r="K202" s="5" t="s">
        <v>70</v>
      </c>
      <c r="L202" s="5">
        <v>48.02</v>
      </c>
      <c r="M202" s="5">
        <v>48.195</v>
      </c>
      <c r="N202" s="5" t="s">
        <v>23</v>
      </c>
      <c r="O202" s="7" t="s">
        <v>173</v>
      </c>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row>
    <row r="203">
      <c r="A203" s="24">
        <v>43172.0</v>
      </c>
      <c r="B203" s="5" t="s">
        <v>25</v>
      </c>
      <c r="C203" s="5">
        <v>2018.0</v>
      </c>
      <c r="D203" s="6">
        <v>43181.0</v>
      </c>
      <c r="E203" s="5" t="s">
        <v>17</v>
      </c>
      <c r="F203" s="5" t="s">
        <v>18</v>
      </c>
      <c r="G203" s="5" t="s">
        <v>19</v>
      </c>
      <c r="H203" s="5"/>
      <c r="I203" s="5" t="s">
        <v>62</v>
      </c>
      <c r="J203" s="5" t="s">
        <v>40</v>
      </c>
      <c r="K203" s="5" t="s">
        <v>85</v>
      </c>
      <c r="L203" s="5">
        <v>47.245</v>
      </c>
      <c r="M203" s="5">
        <v>47.28</v>
      </c>
      <c r="N203" s="5" t="s">
        <v>23</v>
      </c>
      <c r="O203" s="7" t="s">
        <v>175</v>
      </c>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row>
    <row r="204">
      <c r="A204" s="25">
        <v>43172.0</v>
      </c>
      <c r="B204" s="3" t="s">
        <v>25</v>
      </c>
      <c r="C204" s="26">
        <v>2018.0</v>
      </c>
      <c r="D204" s="27">
        <v>43213.0</v>
      </c>
      <c r="E204" s="3" t="s">
        <v>17</v>
      </c>
      <c r="F204" s="3" t="s">
        <v>18</v>
      </c>
      <c r="G204" s="28" t="s">
        <v>28</v>
      </c>
      <c r="H204" s="3"/>
      <c r="I204" s="5" t="s">
        <v>62</v>
      </c>
      <c r="J204" s="5" t="s">
        <v>40</v>
      </c>
      <c r="K204" s="28" t="s">
        <v>85</v>
      </c>
      <c r="L204" s="26">
        <v>47.245</v>
      </c>
      <c r="M204" s="26">
        <v>47.28</v>
      </c>
      <c r="N204" s="5" t="s">
        <v>23</v>
      </c>
      <c r="O204" s="29" t="s">
        <v>175</v>
      </c>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row>
    <row r="205">
      <c r="A205" s="4">
        <v>43223.0</v>
      </c>
      <c r="B205" s="5" t="s">
        <v>25</v>
      </c>
      <c r="C205" s="5">
        <v>2018.0</v>
      </c>
      <c r="D205" s="6">
        <v>43230.0</v>
      </c>
      <c r="E205" s="5" t="s">
        <v>17</v>
      </c>
      <c r="F205" s="5" t="s">
        <v>18</v>
      </c>
      <c r="G205" s="5" t="s">
        <v>19</v>
      </c>
      <c r="H205" s="5"/>
      <c r="I205" s="5" t="s">
        <v>62</v>
      </c>
      <c r="J205" s="5" t="s">
        <v>40</v>
      </c>
      <c r="K205" s="5" t="s">
        <v>176</v>
      </c>
      <c r="L205" s="5">
        <v>47.08</v>
      </c>
      <c r="M205" s="5">
        <v>47.1225</v>
      </c>
      <c r="N205" s="5" t="s">
        <v>23</v>
      </c>
      <c r="O205" s="7" t="s">
        <v>177</v>
      </c>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row>
    <row r="206">
      <c r="A206" s="4">
        <v>43223.0</v>
      </c>
      <c r="B206" s="5" t="s">
        <v>25</v>
      </c>
      <c r="C206" s="5">
        <v>2018.0</v>
      </c>
      <c r="D206" s="6"/>
      <c r="E206" s="5" t="s">
        <v>17</v>
      </c>
      <c r="F206" s="5" t="s">
        <v>18</v>
      </c>
      <c r="G206" s="5" t="s">
        <v>28</v>
      </c>
      <c r="H206" s="5"/>
      <c r="I206" s="5" t="s">
        <v>62</v>
      </c>
      <c r="J206" s="5" t="s">
        <v>40</v>
      </c>
      <c r="K206" s="5" t="s">
        <v>176</v>
      </c>
      <c r="L206" s="5">
        <v>47.08</v>
      </c>
      <c r="M206" s="5">
        <v>47.1225</v>
      </c>
      <c r="N206" s="5" t="s">
        <v>23</v>
      </c>
      <c r="O206" s="7" t="s">
        <v>177</v>
      </c>
      <c r="P206" s="5" t="s">
        <v>178</v>
      </c>
      <c r="Q206" s="8"/>
      <c r="R206" s="8"/>
      <c r="S206" s="8"/>
      <c r="T206" s="8"/>
      <c r="U206" s="8"/>
      <c r="V206" s="8"/>
      <c r="W206" s="8"/>
      <c r="X206" s="8"/>
      <c r="Y206" s="8"/>
      <c r="Z206" s="8"/>
      <c r="AA206" s="8"/>
      <c r="AB206" s="8"/>
      <c r="AC206" s="8"/>
      <c r="AD206" s="8"/>
      <c r="AE206" s="8"/>
      <c r="AF206" s="8"/>
      <c r="AG206" s="8"/>
      <c r="AH206" s="8"/>
      <c r="AI206" s="8"/>
      <c r="AJ206" s="8"/>
      <c r="AK206" s="8"/>
      <c r="AL206" s="8"/>
      <c r="AM206" s="8"/>
      <c r="AN206" s="8"/>
    </row>
    <row r="207">
      <c r="A207" s="4">
        <v>43418.0</v>
      </c>
      <c r="B207" s="5" t="s">
        <v>25</v>
      </c>
      <c r="C207" s="5">
        <v>2018.0</v>
      </c>
      <c r="D207" s="6">
        <v>43435.0</v>
      </c>
      <c r="E207" s="5" t="s">
        <v>17</v>
      </c>
      <c r="F207" s="5" t="s">
        <v>18</v>
      </c>
      <c r="G207" s="5" t="s">
        <v>19</v>
      </c>
      <c r="H207" s="8"/>
      <c r="I207" s="5" t="s">
        <v>20</v>
      </c>
      <c r="J207" s="5" t="s">
        <v>21</v>
      </c>
      <c r="K207" s="5" t="s">
        <v>179</v>
      </c>
      <c r="L207" s="5">
        <v>38.7666488</v>
      </c>
      <c r="M207" s="5">
        <v>48.43333</v>
      </c>
      <c r="N207" s="5" t="s">
        <v>23</v>
      </c>
      <c r="O207" s="10" t="s">
        <v>180</v>
      </c>
      <c r="P207" s="8"/>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row>
    <row r="208">
      <c r="A208" s="4">
        <v>43463.0</v>
      </c>
      <c r="B208" s="5" t="s">
        <v>25</v>
      </c>
      <c r="C208" s="5">
        <v>2018.0</v>
      </c>
      <c r="D208" s="6">
        <v>43469.0</v>
      </c>
      <c r="E208" s="5" t="s">
        <v>17</v>
      </c>
      <c r="F208" s="5" t="s">
        <v>18</v>
      </c>
      <c r="G208" s="5" t="s">
        <v>28</v>
      </c>
      <c r="H208" s="8"/>
      <c r="I208" s="5" t="s">
        <v>20</v>
      </c>
      <c r="J208" s="5" t="s">
        <v>21</v>
      </c>
      <c r="K208" s="5" t="s">
        <v>181</v>
      </c>
      <c r="L208" s="5">
        <v>43.17</v>
      </c>
      <c r="M208" s="5">
        <v>46.28</v>
      </c>
      <c r="N208" s="5" t="s">
        <v>23</v>
      </c>
      <c r="O208" s="10" t="s">
        <v>182</v>
      </c>
      <c r="P208" s="8"/>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row>
    <row r="209">
      <c r="A209" s="4">
        <v>43473.0</v>
      </c>
      <c r="B209" s="5" t="s">
        <v>25</v>
      </c>
      <c r="C209" s="5">
        <v>2019.0</v>
      </c>
      <c r="D209" s="6">
        <v>43480.0</v>
      </c>
      <c r="E209" s="5" t="s">
        <v>17</v>
      </c>
      <c r="F209" s="5" t="s">
        <v>18</v>
      </c>
      <c r="G209" s="5" t="s">
        <v>28</v>
      </c>
      <c r="H209" s="8"/>
      <c r="I209" s="5" t="s">
        <v>20</v>
      </c>
      <c r="J209" s="5" t="s">
        <v>21</v>
      </c>
      <c r="K209" s="5" t="s">
        <v>60</v>
      </c>
      <c r="L209" s="5">
        <v>47.405</v>
      </c>
      <c r="M209" s="5">
        <v>48.43333</v>
      </c>
      <c r="N209" s="5" t="s">
        <v>23</v>
      </c>
      <c r="O209" s="7" t="s">
        <v>183</v>
      </c>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row>
    <row r="210">
      <c r="A210" s="4">
        <v>43473.0</v>
      </c>
      <c r="B210" s="5" t="s">
        <v>25</v>
      </c>
      <c r="C210" s="5">
        <v>2019.0</v>
      </c>
      <c r="D210" s="6">
        <v>43477.0</v>
      </c>
      <c r="E210" s="5" t="s">
        <v>17</v>
      </c>
      <c r="F210" s="5" t="s">
        <v>18</v>
      </c>
      <c r="G210" s="5" t="s">
        <v>19</v>
      </c>
      <c r="H210" s="8"/>
      <c r="I210" s="5" t="s">
        <v>62</v>
      </c>
      <c r="J210" s="5" t="s">
        <v>21</v>
      </c>
      <c r="K210" s="5" t="s">
        <v>69</v>
      </c>
      <c r="L210" s="5">
        <v>47.405</v>
      </c>
      <c r="M210" s="5">
        <v>47.58</v>
      </c>
      <c r="N210" s="5" t="s">
        <v>23</v>
      </c>
      <c r="O210" s="7" t="s">
        <v>183</v>
      </c>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row>
    <row r="211">
      <c r="A211" s="4">
        <v>43473.0</v>
      </c>
      <c r="B211" s="5" t="s">
        <v>25</v>
      </c>
      <c r="C211" s="5">
        <v>2019.0</v>
      </c>
      <c r="D211" s="6">
        <v>43586.0</v>
      </c>
      <c r="E211" s="5" t="s">
        <v>17</v>
      </c>
      <c r="F211" s="5" t="s">
        <v>18</v>
      </c>
      <c r="G211" s="5" t="s">
        <v>19</v>
      </c>
      <c r="H211" s="8"/>
      <c r="I211" s="5" t="s">
        <v>62</v>
      </c>
      <c r="J211" s="5" t="s">
        <v>40</v>
      </c>
      <c r="K211" s="5" t="s">
        <v>69</v>
      </c>
      <c r="L211" s="5">
        <v>47.405</v>
      </c>
      <c r="M211" s="5">
        <v>47.58</v>
      </c>
      <c r="N211" s="5" t="s">
        <v>23</v>
      </c>
      <c r="O211" s="7" t="s">
        <v>183</v>
      </c>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row>
    <row r="212">
      <c r="A212" s="4">
        <v>43473.0</v>
      </c>
      <c r="B212" s="5" t="s">
        <v>25</v>
      </c>
      <c r="C212" s="5">
        <v>2019.0</v>
      </c>
      <c r="D212" s="6">
        <v>43617.0</v>
      </c>
      <c r="E212" s="5" t="s">
        <v>17</v>
      </c>
      <c r="F212" s="5" t="s">
        <v>18</v>
      </c>
      <c r="G212" s="5" t="s">
        <v>28</v>
      </c>
      <c r="H212" s="5" t="s">
        <v>37</v>
      </c>
      <c r="I212" s="5" t="s">
        <v>62</v>
      </c>
      <c r="J212" s="5" t="s">
        <v>40</v>
      </c>
      <c r="K212" s="5" t="s">
        <v>69</v>
      </c>
      <c r="L212" s="5">
        <v>47.405</v>
      </c>
      <c r="M212" s="5">
        <v>47.58</v>
      </c>
      <c r="N212" s="5" t="s">
        <v>23</v>
      </c>
      <c r="O212" s="7" t="s">
        <v>183</v>
      </c>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row>
    <row r="213">
      <c r="A213" s="4">
        <v>43473.0</v>
      </c>
      <c r="B213" s="5" t="s">
        <v>25</v>
      </c>
      <c r="C213" s="5">
        <v>2019.0</v>
      </c>
      <c r="D213" s="6">
        <v>43477.0</v>
      </c>
      <c r="E213" s="5" t="s">
        <v>17</v>
      </c>
      <c r="F213" s="5" t="s">
        <v>18</v>
      </c>
      <c r="G213" s="5" t="s">
        <v>19</v>
      </c>
      <c r="H213" s="8"/>
      <c r="I213" s="5" t="s">
        <v>62</v>
      </c>
      <c r="J213" s="5" t="s">
        <v>21</v>
      </c>
      <c r="K213" s="5" t="s">
        <v>70</v>
      </c>
      <c r="L213" s="5">
        <v>48.02</v>
      </c>
      <c r="M213" s="5">
        <v>48.195</v>
      </c>
      <c r="N213" s="5" t="s">
        <v>23</v>
      </c>
      <c r="O213" s="7" t="s">
        <v>183</v>
      </c>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row>
    <row r="214">
      <c r="A214" s="4">
        <v>43502.0</v>
      </c>
      <c r="B214" s="5" t="s">
        <v>25</v>
      </c>
      <c r="C214" s="5">
        <v>2019.0</v>
      </c>
      <c r="D214" s="6">
        <v>43507.0</v>
      </c>
      <c r="E214" s="5" t="s">
        <v>17</v>
      </c>
      <c r="F214" s="5" t="s">
        <v>18</v>
      </c>
      <c r="G214" s="5" t="s">
        <v>19</v>
      </c>
      <c r="H214" s="8"/>
      <c r="I214" s="5" t="s">
        <v>62</v>
      </c>
      <c r="J214" s="5" t="s">
        <v>40</v>
      </c>
      <c r="K214" s="5" t="s">
        <v>70</v>
      </c>
      <c r="L214" s="5">
        <v>48.02</v>
      </c>
      <c r="M214" s="5">
        <v>48.195</v>
      </c>
      <c r="N214" s="5" t="s">
        <v>25</v>
      </c>
      <c r="O214" s="7" t="s">
        <v>184</v>
      </c>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row>
    <row r="215">
      <c r="A215" s="4">
        <v>43523.0</v>
      </c>
      <c r="B215" s="5" t="s">
        <v>25</v>
      </c>
      <c r="C215" s="5">
        <v>2019.0</v>
      </c>
      <c r="D215" s="6">
        <v>43537.0</v>
      </c>
      <c r="E215" s="5" t="s">
        <v>17</v>
      </c>
      <c r="F215" s="5" t="s">
        <v>18</v>
      </c>
      <c r="G215" s="5" t="s">
        <v>28</v>
      </c>
      <c r="H215" s="8"/>
      <c r="I215" s="5" t="s">
        <v>62</v>
      </c>
      <c r="J215" s="5" t="s">
        <v>40</v>
      </c>
      <c r="K215" s="5" t="s">
        <v>70</v>
      </c>
      <c r="L215" s="5">
        <v>48.02</v>
      </c>
      <c r="M215" s="5">
        <v>48.195</v>
      </c>
      <c r="N215" s="5" t="s">
        <v>23</v>
      </c>
      <c r="O215" s="7" t="s">
        <v>185</v>
      </c>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row>
    <row r="216">
      <c r="A216" s="4">
        <v>43474.0</v>
      </c>
      <c r="B216" s="5" t="s">
        <v>25</v>
      </c>
      <c r="C216" s="5">
        <v>2019.0</v>
      </c>
      <c r="D216" s="6">
        <v>43475.0</v>
      </c>
      <c r="E216" s="5" t="s">
        <v>17</v>
      </c>
      <c r="F216" s="5" t="s">
        <v>18</v>
      </c>
      <c r="G216" s="5" t="s">
        <v>28</v>
      </c>
      <c r="H216" s="8"/>
      <c r="I216" s="5" t="s">
        <v>20</v>
      </c>
      <c r="J216" s="5" t="s">
        <v>21</v>
      </c>
      <c r="K216" s="5" t="s">
        <v>73</v>
      </c>
      <c r="L216" s="5">
        <v>46.28</v>
      </c>
      <c r="M216" s="5">
        <v>47.405</v>
      </c>
      <c r="N216" s="5" t="s">
        <v>25</v>
      </c>
      <c r="O216" s="7" t="s">
        <v>186</v>
      </c>
      <c r="P216" s="5" t="s">
        <v>187</v>
      </c>
      <c r="Q216" s="8"/>
      <c r="R216" s="8"/>
      <c r="S216" s="8"/>
      <c r="T216" s="8"/>
      <c r="U216" s="8"/>
      <c r="V216" s="8"/>
      <c r="W216" s="8"/>
      <c r="X216" s="8"/>
      <c r="Y216" s="8"/>
      <c r="Z216" s="8"/>
      <c r="AA216" s="8"/>
      <c r="AB216" s="8"/>
      <c r="AC216" s="8"/>
      <c r="AD216" s="8"/>
      <c r="AE216" s="8"/>
      <c r="AF216" s="8"/>
      <c r="AG216" s="8"/>
      <c r="AH216" s="8"/>
      <c r="AI216" s="8"/>
      <c r="AJ216" s="8"/>
      <c r="AK216" s="8"/>
      <c r="AL216" s="8"/>
      <c r="AM216" s="8"/>
      <c r="AN216" s="8"/>
    </row>
    <row r="217">
      <c r="A217" s="4">
        <v>43523.0</v>
      </c>
      <c r="B217" s="5" t="s">
        <v>25</v>
      </c>
      <c r="C217" s="5">
        <v>2019.0</v>
      </c>
      <c r="D217" s="6">
        <v>43528.0</v>
      </c>
      <c r="E217" s="5" t="s">
        <v>17</v>
      </c>
      <c r="F217" s="5" t="s">
        <v>18</v>
      </c>
      <c r="G217" s="5" t="s">
        <v>19</v>
      </c>
      <c r="H217" s="8"/>
      <c r="I217" s="5" t="s">
        <v>62</v>
      </c>
      <c r="J217" s="5" t="s">
        <v>40</v>
      </c>
      <c r="K217" s="5" t="s">
        <v>85</v>
      </c>
      <c r="L217" s="5">
        <v>47.245</v>
      </c>
      <c r="M217" s="5">
        <v>47.28</v>
      </c>
      <c r="N217" s="5" t="s">
        <v>23</v>
      </c>
      <c r="O217" s="7" t="s">
        <v>185</v>
      </c>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row>
    <row r="218">
      <c r="A218" s="4">
        <v>43523.0</v>
      </c>
      <c r="B218" s="5" t="s">
        <v>25</v>
      </c>
      <c r="C218" s="5">
        <v>2019.0</v>
      </c>
      <c r="D218" s="6">
        <v>43559.0</v>
      </c>
      <c r="E218" s="5" t="s">
        <v>17</v>
      </c>
      <c r="F218" s="5" t="s">
        <v>18</v>
      </c>
      <c r="G218" s="5" t="s">
        <v>28</v>
      </c>
      <c r="H218" s="5" t="s">
        <v>37</v>
      </c>
      <c r="I218" s="5" t="s">
        <v>62</v>
      </c>
      <c r="J218" s="5" t="s">
        <v>40</v>
      </c>
      <c r="K218" s="5" t="s">
        <v>85</v>
      </c>
      <c r="L218" s="5">
        <v>47.245</v>
      </c>
      <c r="M218" s="5">
        <v>47.28</v>
      </c>
      <c r="N218" s="5" t="s">
        <v>23</v>
      </c>
      <c r="O218" s="7" t="s">
        <v>185</v>
      </c>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row>
    <row r="219">
      <c r="A219" s="4">
        <v>43523.0</v>
      </c>
      <c r="B219" s="5" t="s">
        <v>25</v>
      </c>
      <c r="C219" s="5">
        <v>2019.0</v>
      </c>
      <c r="D219" s="6">
        <v>43528.0</v>
      </c>
      <c r="E219" s="5" t="s">
        <v>17</v>
      </c>
      <c r="F219" s="5" t="s">
        <v>18</v>
      </c>
      <c r="G219" s="5" t="s">
        <v>19</v>
      </c>
      <c r="H219" s="8"/>
      <c r="I219" s="5" t="s">
        <v>62</v>
      </c>
      <c r="J219" s="5" t="s">
        <v>40</v>
      </c>
      <c r="K219" s="5" t="s">
        <v>176</v>
      </c>
      <c r="L219" s="5">
        <v>47.08</v>
      </c>
      <c r="M219" s="5">
        <v>47.1225</v>
      </c>
      <c r="N219" s="5" t="s">
        <v>23</v>
      </c>
      <c r="O219" s="7" t="s">
        <v>185</v>
      </c>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row>
    <row r="220">
      <c r="A220" s="4">
        <v>43523.0</v>
      </c>
      <c r="B220" s="5" t="s">
        <v>25</v>
      </c>
      <c r="C220" s="5">
        <v>2019.0</v>
      </c>
      <c r="D220" s="6">
        <v>43559.0</v>
      </c>
      <c r="E220" s="5" t="s">
        <v>17</v>
      </c>
      <c r="F220" s="5" t="s">
        <v>18</v>
      </c>
      <c r="G220" s="5" t="s">
        <v>28</v>
      </c>
      <c r="H220" s="5" t="s">
        <v>37</v>
      </c>
      <c r="I220" s="5" t="s">
        <v>62</v>
      </c>
      <c r="J220" s="5" t="s">
        <v>40</v>
      </c>
      <c r="K220" s="5" t="s">
        <v>176</v>
      </c>
      <c r="L220" s="5">
        <v>47.08</v>
      </c>
      <c r="M220" s="5">
        <v>47.1225</v>
      </c>
      <c r="N220" s="5" t="s">
        <v>23</v>
      </c>
      <c r="O220" s="7" t="s">
        <v>185</v>
      </c>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row>
    <row r="221">
      <c r="A221" s="4">
        <v>43558.0</v>
      </c>
      <c r="B221" s="5" t="s">
        <v>25</v>
      </c>
      <c r="C221" s="5">
        <v>2019.0</v>
      </c>
      <c r="D221" s="6">
        <v>43563.0</v>
      </c>
      <c r="E221" s="5" t="s">
        <v>17</v>
      </c>
      <c r="F221" s="5" t="s">
        <v>18</v>
      </c>
      <c r="G221" s="5" t="s">
        <v>19</v>
      </c>
      <c r="H221" s="8"/>
      <c r="I221" s="5" t="s">
        <v>62</v>
      </c>
      <c r="J221" s="5" t="s">
        <v>40</v>
      </c>
      <c r="K221" s="5" t="s">
        <v>188</v>
      </c>
      <c r="L221" s="5">
        <v>47.1225</v>
      </c>
      <c r="M221" s="5">
        <v>47.1835</v>
      </c>
      <c r="N221" s="5" t="s">
        <v>23</v>
      </c>
      <c r="O221" s="7" t="s">
        <v>189</v>
      </c>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row>
    <row r="222">
      <c r="A222" s="4">
        <v>43584.0</v>
      </c>
      <c r="B222" s="5" t="s">
        <v>25</v>
      </c>
      <c r="C222" s="5">
        <v>2019.0</v>
      </c>
      <c r="D222" s="6">
        <v>43586.0</v>
      </c>
      <c r="E222" s="5" t="s">
        <v>17</v>
      </c>
      <c r="F222" s="5" t="s">
        <v>18</v>
      </c>
      <c r="G222" s="5" t="s">
        <v>19</v>
      </c>
      <c r="H222" s="8"/>
      <c r="I222" s="5" t="s">
        <v>62</v>
      </c>
      <c r="J222" s="5" t="s">
        <v>40</v>
      </c>
      <c r="K222" s="5" t="s">
        <v>63</v>
      </c>
      <c r="L222" s="5">
        <v>47.08</v>
      </c>
      <c r="M222" s="5">
        <v>47.28</v>
      </c>
      <c r="N222" s="5" t="s">
        <v>23</v>
      </c>
      <c r="O222" s="10" t="s">
        <v>190</v>
      </c>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row>
    <row r="223">
      <c r="A223" s="4">
        <v>43805.0</v>
      </c>
      <c r="B223" s="5" t="s">
        <v>25</v>
      </c>
      <c r="C223" s="5">
        <v>2019.0</v>
      </c>
      <c r="D223" s="6">
        <v>43800.0</v>
      </c>
      <c r="E223" s="5" t="s">
        <v>17</v>
      </c>
      <c r="F223" s="5" t="s">
        <v>18</v>
      </c>
      <c r="G223" s="5" t="s">
        <v>19</v>
      </c>
      <c r="H223" s="8"/>
      <c r="I223" s="5" t="s">
        <v>20</v>
      </c>
      <c r="J223" s="5" t="s">
        <v>21</v>
      </c>
      <c r="K223" s="5" t="s">
        <v>106</v>
      </c>
      <c r="L223" s="5">
        <v>38.7666488</v>
      </c>
      <c r="M223" s="5">
        <v>48.43333</v>
      </c>
      <c r="N223" s="5" t="s">
        <v>23</v>
      </c>
      <c r="O223" s="7" t="s">
        <v>191</v>
      </c>
      <c r="P223" s="8"/>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row>
    <row r="224">
      <c r="A224" s="4">
        <v>43819.0</v>
      </c>
      <c r="B224" s="5" t="s">
        <v>25</v>
      </c>
      <c r="C224" s="5">
        <v>2019.0</v>
      </c>
      <c r="D224" s="14">
        <v>43830.0</v>
      </c>
      <c r="E224" s="5" t="s">
        <v>17</v>
      </c>
      <c r="F224" s="5" t="s">
        <v>18</v>
      </c>
      <c r="G224" s="5" t="s">
        <v>28</v>
      </c>
      <c r="H224" s="8"/>
      <c r="I224" s="5" t="s">
        <v>20</v>
      </c>
      <c r="J224" s="5" t="s">
        <v>21</v>
      </c>
      <c r="K224" s="5" t="s">
        <v>192</v>
      </c>
      <c r="L224" s="5">
        <v>38.908</v>
      </c>
      <c r="M224" s="12">
        <v>46.28</v>
      </c>
      <c r="N224" s="5" t="s">
        <v>23</v>
      </c>
      <c r="O224" s="10" t="s">
        <v>193</v>
      </c>
      <c r="P224" s="8"/>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row>
    <row r="225">
      <c r="A225" s="4">
        <v>43819.0</v>
      </c>
      <c r="B225" s="5" t="s">
        <v>25</v>
      </c>
      <c r="C225" s="5">
        <v>2019.0</v>
      </c>
      <c r="D225" s="14">
        <v>43830.0</v>
      </c>
      <c r="E225" s="5" t="s">
        <v>17</v>
      </c>
      <c r="F225" s="5" t="s">
        <v>18</v>
      </c>
      <c r="G225" s="5" t="s">
        <v>19</v>
      </c>
      <c r="H225" s="8"/>
      <c r="I225" s="5" t="s">
        <v>35</v>
      </c>
      <c r="J225" s="5" t="s">
        <v>40</v>
      </c>
      <c r="K225" s="5" t="s">
        <v>194</v>
      </c>
      <c r="L225" s="12">
        <v>46.25</v>
      </c>
      <c r="M225" s="12">
        <v>46.28</v>
      </c>
      <c r="N225" s="5" t="s">
        <v>23</v>
      </c>
      <c r="O225" s="10" t="s">
        <v>193</v>
      </c>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row>
    <row r="226">
      <c r="A226" s="4">
        <v>43839.0</v>
      </c>
      <c r="B226" s="5" t="s">
        <v>25</v>
      </c>
      <c r="C226" s="5">
        <v>2019.0</v>
      </c>
      <c r="D226" s="14">
        <v>43852.0</v>
      </c>
      <c r="E226" s="5" t="s">
        <v>17</v>
      </c>
      <c r="F226" s="5" t="s">
        <v>18</v>
      </c>
      <c r="G226" s="5" t="s">
        <v>28</v>
      </c>
      <c r="H226" s="8"/>
      <c r="I226" s="5" t="s">
        <v>35</v>
      </c>
      <c r="J226" s="5" t="s">
        <v>40</v>
      </c>
      <c r="K226" s="5" t="s">
        <v>194</v>
      </c>
      <c r="L226" s="12">
        <v>46.25</v>
      </c>
      <c r="M226" s="12">
        <v>46.28</v>
      </c>
      <c r="N226" s="5" t="s">
        <v>23</v>
      </c>
      <c r="O226" s="7" t="s">
        <v>195</v>
      </c>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row>
    <row r="227">
      <c r="A227" s="4">
        <v>43839.0</v>
      </c>
      <c r="B227" s="5" t="s">
        <v>25</v>
      </c>
      <c r="C227" s="5">
        <v>2020.0</v>
      </c>
      <c r="D227" s="6">
        <v>43855.0</v>
      </c>
      <c r="E227" s="5" t="s">
        <v>17</v>
      </c>
      <c r="F227" s="5" t="s">
        <v>18</v>
      </c>
      <c r="G227" s="5" t="s">
        <v>28</v>
      </c>
      <c r="H227" s="8"/>
      <c r="I227" s="5" t="s">
        <v>20</v>
      </c>
      <c r="J227" s="5" t="s">
        <v>21</v>
      </c>
      <c r="K227" s="5" t="s">
        <v>121</v>
      </c>
      <c r="L227" s="5">
        <v>46.28</v>
      </c>
      <c r="M227" s="5">
        <v>48.43333</v>
      </c>
      <c r="N227" s="5" t="s">
        <v>23</v>
      </c>
      <c r="O227" s="10" t="s">
        <v>195</v>
      </c>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row>
    <row r="228">
      <c r="A228" s="4">
        <v>43839.0</v>
      </c>
      <c r="B228" s="5" t="s">
        <v>25</v>
      </c>
      <c r="C228" s="5">
        <v>2020.0</v>
      </c>
      <c r="D228" s="6">
        <v>43852.0</v>
      </c>
      <c r="E228" s="5" t="s">
        <v>17</v>
      </c>
      <c r="F228" s="5" t="s">
        <v>18</v>
      </c>
      <c r="G228" s="5" t="s">
        <v>19</v>
      </c>
      <c r="H228" s="8"/>
      <c r="I228" s="5" t="s">
        <v>62</v>
      </c>
      <c r="J228" s="5" t="s">
        <v>21</v>
      </c>
      <c r="K228" s="5" t="s">
        <v>63</v>
      </c>
      <c r="L228" s="5">
        <v>47.08</v>
      </c>
      <c r="M228" s="5">
        <v>47.28</v>
      </c>
      <c r="N228" s="5" t="s">
        <v>23</v>
      </c>
      <c r="O228" s="10" t="s">
        <v>195</v>
      </c>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row>
    <row r="229">
      <c r="A229" s="4">
        <v>43839.0</v>
      </c>
      <c r="B229" s="5" t="s">
        <v>25</v>
      </c>
      <c r="C229" s="5">
        <v>2020.0</v>
      </c>
      <c r="D229" s="6">
        <v>43852.0</v>
      </c>
      <c r="E229" s="5" t="s">
        <v>17</v>
      </c>
      <c r="F229" s="5" t="s">
        <v>18</v>
      </c>
      <c r="G229" s="5" t="s">
        <v>19</v>
      </c>
      <c r="H229" s="8"/>
      <c r="I229" s="5" t="s">
        <v>62</v>
      </c>
      <c r="J229" s="5" t="s">
        <v>21</v>
      </c>
      <c r="K229" s="5" t="s">
        <v>69</v>
      </c>
      <c r="L229" s="5">
        <v>47.405</v>
      </c>
      <c r="M229" s="5">
        <v>47.58</v>
      </c>
      <c r="N229" s="5" t="s">
        <v>23</v>
      </c>
      <c r="O229" s="10" t="s">
        <v>195</v>
      </c>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row>
    <row r="230">
      <c r="A230" s="4">
        <v>43839.0</v>
      </c>
      <c r="B230" s="5" t="s">
        <v>25</v>
      </c>
      <c r="C230" s="5">
        <v>2020.0</v>
      </c>
      <c r="D230" s="6">
        <v>43952.0</v>
      </c>
      <c r="E230" s="5" t="s">
        <v>17</v>
      </c>
      <c r="F230" s="5" t="s">
        <v>18</v>
      </c>
      <c r="G230" s="5" t="s">
        <v>19</v>
      </c>
      <c r="H230" s="8"/>
      <c r="I230" s="5" t="s">
        <v>62</v>
      </c>
      <c r="J230" s="5" t="s">
        <v>40</v>
      </c>
      <c r="K230" s="5" t="s">
        <v>69</v>
      </c>
      <c r="L230" s="5">
        <v>47.405</v>
      </c>
      <c r="M230" s="5">
        <v>47.58</v>
      </c>
      <c r="N230" s="5" t="s">
        <v>23</v>
      </c>
      <c r="O230" s="10" t="s">
        <v>195</v>
      </c>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row>
    <row r="231">
      <c r="A231" s="4">
        <v>43839.0</v>
      </c>
      <c r="B231" s="5" t="s">
        <v>25</v>
      </c>
      <c r="C231" s="5">
        <v>2020.0</v>
      </c>
      <c r="D231" s="6">
        <v>43983.0</v>
      </c>
      <c r="E231" s="5" t="s">
        <v>17</v>
      </c>
      <c r="F231" s="5" t="s">
        <v>18</v>
      </c>
      <c r="G231" s="5" t="s">
        <v>28</v>
      </c>
      <c r="H231" s="5"/>
      <c r="I231" s="5" t="s">
        <v>62</v>
      </c>
      <c r="J231" s="5" t="s">
        <v>40</v>
      </c>
      <c r="K231" s="5" t="s">
        <v>69</v>
      </c>
      <c r="L231" s="5">
        <v>47.405</v>
      </c>
      <c r="M231" s="5">
        <v>47.58</v>
      </c>
      <c r="N231" s="5" t="s">
        <v>23</v>
      </c>
      <c r="O231" s="10" t="s">
        <v>195</v>
      </c>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row>
    <row r="232">
      <c r="A232" s="4">
        <v>43839.0</v>
      </c>
      <c r="B232" s="5" t="s">
        <v>25</v>
      </c>
      <c r="C232" s="5">
        <v>2020.0</v>
      </c>
      <c r="D232" s="6">
        <v>43852.0</v>
      </c>
      <c r="E232" s="5" t="s">
        <v>17</v>
      </c>
      <c r="F232" s="5" t="s">
        <v>18</v>
      </c>
      <c r="G232" s="5" t="s">
        <v>19</v>
      </c>
      <c r="H232" s="8"/>
      <c r="I232" s="5" t="s">
        <v>62</v>
      </c>
      <c r="J232" s="5" t="s">
        <v>21</v>
      </c>
      <c r="K232" s="5" t="s">
        <v>70</v>
      </c>
      <c r="L232" s="5">
        <v>48.02</v>
      </c>
      <c r="M232" s="5">
        <v>48.195</v>
      </c>
      <c r="N232" s="5" t="s">
        <v>23</v>
      </c>
      <c r="O232" s="10" t="s">
        <v>195</v>
      </c>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row>
    <row r="233">
      <c r="A233" s="4">
        <v>43839.0</v>
      </c>
      <c r="B233" s="5" t="s">
        <v>25</v>
      </c>
      <c r="C233" s="5">
        <v>2020.0</v>
      </c>
      <c r="D233" s="6">
        <v>43882.0</v>
      </c>
      <c r="E233" s="5" t="s">
        <v>17</v>
      </c>
      <c r="F233" s="5" t="s">
        <v>18</v>
      </c>
      <c r="G233" s="5" t="s">
        <v>19</v>
      </c>
      <c r="H233" s="8"/>
      <c r="I233" s="5" t="s">
        <v>62</v>
      </c>
      <c r="J233" s="5" t="s">
        <v>40</v>
      </c>
      <c r="K233" s="5" t="s">
        <v>70</v>
      </c>
      <c r="L233" s="5">
        <v>48.02</v>
      </c>
      <c r="M233" s="5">
        <v>48.195</v>
      </c>
      <c r="N233" s="5" t="s">
        <v>23</v>
      </c>
      <c r="O233" s="10" t="s">
        <v>195</v>
      </c>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row>
    <row r="234">
      <c r="A234" s="4">
        <v>43839.0</v>
      </c>
      <c r="B234" s="5" t="s">
        <v>25</v>
      </c>
      <c r="C234" s="5">
        <v>2020.0</v>
      </c>
      <c r="D234" s="6">
        <v>43912.0</v>
      </c>
      <c r="E234" s="5" t="s">
        <v>17</v>
      </c>
      <c r="F234" s="5" t="s">
        <v>18</v>
      </c>
      <c r="G234" s="5" t="s">
        <v>28</v>
      </c>
      <c r="H234" s="8"/>
      <c r="I234" s="5" t="s">
        <v>62</v>
      </c>
      <c r="J234" s="5" t="s">
        <v>40</v>
      </c>
      <c r="K234" s="5" t="s">
        <v>70</v>
      </c>
      <c r="L234" s="5">
        <v>48.02</v>
      </c>
      <c r="M234" s="5">
        <v>48.195</v>
      </c>
      <c r="N234" s="5" t="s">
        <v>23</v>
      </c>
      <c r="O234" s="10" t="s">
        <v>195</v>
      </c>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row>
    <row r="235">
      <c r="A235" s="4">
        <v>43906.0</v>
      </c>
      <c r="B235" s="5" t="s">
        <v>25</v>
      </c>
      <c r="C235" s="5">
        <v>2020.0</v>
      </c>
      <c r="D235" s="6">
        <v>43908.0</v>
      </c>
      <c r="E235" s="5" t="s">
        <v>17</v>
      </c>
      <c r="F235" s="5" t="s">
        <v>18</v>
      </c>
      <c r="G235" s="5" t="s">
        <v>19</v>
      </c>
      <c r="H235" s="8"/>
      <c r="I235" s="5" t="s">
        <v>62</v>
      </c>
      <c r="J235" s="5" t="s">
        <v>40</v>
      </c>
      <c r="K235" s="5" t="s">
        <v>85</v>
      </c>
      <c r="L235" s="5">
        <v>47.245</v>
      </c>
      <c r="M235" s="5">
        <v>47.28</v>
      </c>
      <c r="N235" s="5" t="s">
        <v>25</v>
      </c>
      <c r="O235" s="7" t="s">
        <v>196</v>
      </c>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row>
    <row r="236">
      <c r="A236" s="4">
        <v>43906.0</v>
      </c>
      <c r="B236" s="5" t="s">
        <v>25</v>
      </c>
      <c r="C236" s="5">
        <v>2020.0</v>
      </c>
      <c r="D236" s="6">
        <v>43938.0</v>
      </c>
      <c r="E236" s="5" t="s">
        <v>17</v>
      </c>
      <c r="F236" s="5" t="s">
        <v>18</v>
      </c>
      <c r="G236" s="5" t="s">
        <v>28</v>
      </c>
      <c r="H236" s="8"/>
      <c r="I236" s="5" t="s">
        <v>62</v>
      </c>
      <c r="J236" s="5" t="s">
        <v>40</v>
      </c>
      <c r="K236" s="5" t="s">
        <v>85</v>
      </c>
      <c r="L236" s="5">
        <v>47.245</v>
      </c>
      <c r="M236" s="5">
        <v>47.28</v>
      </c>
      <c r="N236" s="5" t="s">
        <v>25</v>
      </c>
      <c r="O236" s="7" t="s">
        <v>196</v>
      </c>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row>
    <row r="237">
      <c r="A237" s="4">
        <v>43864.0</v>
      </c>
      <c r="B237" s="5" t="s">
        <v>25</v>
      </c>
      <c r="C237" s="5">
        <v>2022.0</v>
      </c>
      <c r="D237" s="6">
        <v>43952.0</v>
      </c>
      <c r="E237" s="5" t="s">
        <v>17</v>
      </c>
      <c r="F237" s="5" t="s">
        <v>18</v>
      </c>
      <c r="G237" s="5" t="s">
        <v>19</v>
      </c>
      <c r="H237" s="8"/>
      <c r="I237" s="5" t="s">
        <v>197</v>
      </c>
      <c r="J237" s="5" t="s">
        <v>198</v>
      </c>
      <c r="K237" s="12" t="s">
        <v>165</v>
      </c>
      <c r="L237" s="12">
        <v>46.25</v>
      </c>
      <c r="M237" s="12">
        <v>48.43333</v>
      </c>
      <c r="N237" s="5" t="s">
        <v>23</v>
      </c>
      <c r="O237" s="15" t="s">
        <v>199</v>
      </c>
      <c r="P237" s="8"/>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row>
    <row r="238">
      <c r="A238" s="4">
        <v>44154.0</v>
      </c>
      <c r="B238" s="5" t="s">
        <v>25</v>
      </c>
      <c r="C238" s="5">
        <v>2020.0</v>
      </c>
      <c r="D238" s="6">
        <v>44166.0</v>
      </c>
      <c r="E238" s="5" t="s">
        <v>17</v>
      </c>
      <c r="F238" s="5" t="s">
        <v>18</v>
      </c>
      <c r="G238" s="5" t="s">
        <v>19</v>
      </c>
      <c r="H238" s="8"/>
      <c r="I238" s="5" t="s">
        <v>20</v>
      </c>
      <c r="J238" s="5" t="s">
        <v>21</v>
      </c>
      <c r="K238" s="5" t="s">
        <v>179</v>
      </c>
      <c r="L238" s="5">
        <v>38.7666488</v>
      </c>
      <c r="M238" s="5">
        <v>48.43333</v>
      </c>
      <c r="N238" s="5" t="s">
        <v>25</v>
      </c>
      <c r="O238" s="7" t="s">
        <v>200</v>
      </c>
      <c r="P238" s="8"/>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row>
    <row r="239">
      <c r="A239" s="4">
        <v>44173.0</v>
      </c>
      <c r="B239" s="5" t="s">
        <v>25</v>
      </c>
      <c r="C239" s="5">
        <v>2020.0</v>
      </c>
      <c r="D239" s="6">
        <v>44166.0</v>
      </c>
      <c r="E239" s="5" t="s">
        <v>17</v>
      </c>
      <c r="F239" s="5" t="s">
        <v>18</v>
      </c>
      <c r="G239" s="5" t="s">
        <v>19</v>
      </c>
      <c r="H239" s="8"/>
      <c r="I239" s="5" t="s">
        <v>201</v>
      </c>
      <c r="J239" s="5" t="s">
        <v>21</v>
      </c>
      <c r="K239" s="5" t="s">
        <v>202</v>
      </c>
      <c r="L239" s="5">
        <v>45.46</v>
      </c>
      <c r="M239" s="5">
        <v>48.43333</v>
      </c>
      <c r="N239" s="5" t="s">
        <v>25</v>
      </c>
      <c r="O239" s="10" t="s">
        <v>203</v>
      </c>
      <c r="P239" s="8"/>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row>
    <row r="240">
      <c r="A240" s="4">
        <v>44236.0</v>
      </c>
      <c r="B240" s="5" t="s">
        <v>25</v>
      </c>
      <c r="C240" s="5">
        <v>2021.0</v>
      </c>
      <c r="D240" s="6">
        <v>44243.0</v>
      </c>
      <c r="E240" s="5" t="s">
        <v>17</v>
      </c>
      <c r="F240" s="5" t="s">
        <v>18</v>
      </c>
      <c r="G240" s="5" t="s">
        <v>28</v>
      </c>
      <c r="H240" s="8"/>
      <c r="I240" s="5" t="s">
        <v>130</v>
      </c>
      <c r="J240" s="5" t="s">
        <v>21</v>
      </c>
      <c r="K240" s="5" t="s">
        <v>204</v>
      </c>
      <c r="L240" s="5">
        <v>46.25</v>
      </c>
      <c r="M240" s="5">
        <v>48.43333</v>
      </c>
      <c r="N240" s="5" t="s">
        <v>25</v>
      </c>
      <c r="O240" s="10" t="s">
        <v>205</v>
      </c>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row>
    <row r="241">
      <c r="A241" s="4">
        <v>44236.0</v>
      </c>
      <c r="B241" s="5" t="s">
        <v>25</v>
      </c>
      <c r="C241" s="5">
        <v>2021.0</v>
      </c>
      <c r="D241" s="6">
        <v>44243.0</v>
      </c>
      <c r="E241" s="5" t="s">
        <v>17</v>
      </c>
      <c r="F241" s="5" t="s">
        <v>18</v>
      </c>
      <c r="G241" s="5" t="s">
        <v>19</v>
      </c>
      <c r="H241" s="8"/>
      <c r="I241" s="5" t="s">
        <v>130</v>
      </c>
      <c r="J241" s="5" t="s">
        <v>162</v>
      </c>
      <c r="K241" s="5" t="s">
        <v>206</v>
      </c>
      <c r="L241" s="5">
        <v>46.25</v>
      </c>
      <c r="M241" s="5">
        <v>46.5318</v>
      </c>
      <c r="N241" s="5" t="s">
        <v>23</v>
      </c>
      <c r="O241" s="7" t="s">
        <v>207</v>
      </c>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row>
    <row r="242">
      <c r="A242" s="4">
        <v>44236.0</v>
      </c>
      <c r="B242" s="5" t="s">
        <v>25</v>
      </c>
      <c r="C242" s="5">
        <v>2021.0</v>
      </c>
      <c r="D242" s="6">
        <v>44240.0</v>
      </c>
      <c r="E242" s="5" t="s">
        <v>17</v>
      </c>
      <c r="F242" s="5" t="s">
        <v>18</v>
      </c>
      <c r="G242" s="5" t="s">
        <v>19</v>
      </c>
      <c r="H242" s="8"/>
      <c r="I242" s="5" t="s">
        <v>62</v>
      </c>
      <c r="J242" s="5" t="s">
        <v>21</v>
      </c>
      <c r="K242" s="5" t="s">
        <v>63</v>
      </c>
      <c r="L242" s="5">
        <v>47.08</v>
      </c>
      <c r="M242" s="5">
        <v>47.28</v>
      </c>
      <c r="N242" s="5" t="s">
        <v>23</v>
      </c>
      <c r="O242" s="10" t="s">
        <v>195</v>
      </c>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row>
    <row r="243">
      <c r="A243" s="4">
        <v>44236.0</v>
      </c>
      <c r="B243" s="5" t="s">
        <v>25</v>
      </c>
      <c r="C243" s="5">
        <v>2021.0</v>
      </c>
      <c r="D243" s="6">
        <v>44240.0</v>
      </c>
      <c r="E243" s="5" t="s">
        <v>17</v>
      </c>
      <c r="F243" s="5" t="s">
        <v>18</v>
      </c>
      <c r="G243" s="5" t="s">
        <v>19</v>
      </c>
      <c r="H243" s="5"/>
      <c r="I243" s="5" t="s">
        <v>62</v>
      </c>
      <c r="J243" s="5" t="s">
        <v>21</v>
      </c>
      <c r="K243" s="5" t="s">
        <v>69</v>
      </c>
      <c r="L243" s="5">
        <v>47.405</v>
      </c>
      <c r="M243" s="5">
        <v>47.58</v>
      </c>
      <c r="N243" s="5" t="s">
        <v>23</v>
      </c>
      <c r="O243" s="10" t="s">
        <v>195</v>
      </c>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row>
    <row r="244">
      <c r="A244" s="4">
        <v>44236.0</v>
      </c>
      <c r="B244" s="5" t="s">
        <v>25</v>
      </c>
      <c r="C244" s="5">
        <v>2021.0</v>
      </c>
      <c r="D244" s="6">
        <v>44240.0</v>
      </c>
      <c r="E244" s="5" t="s">
        <v>17</v>
      </c>
      <c r="F244" s="5" t="s">
        <v>18</v>
      </c>
      <c r="G244" s="5" t="s">
        <v>19</v>
      </c>
      <c r="H244" s="8"/>
      <c r="I244" s="5" t="s">
        <v>62</v>
      </c>
      <c r="J244" s="5" t="s">
        <v>21</v>
      </c>
      <c r="K244" s="5" t="s">
        <v>70</v>
      </c>
      <c r="L244" s="5">
        <v>48.02</v>
      </c>
      <c r="M244" s="5">
        <v>48.195</v>
      </c>
      <c r="N244" s="5" t="s">
        <v>23</v>
      </c>
      <c r="O244" s="10" t="s">
        <v>207</v>
      </c>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row>
    <row r="245">
      <c r="A245" s="4">
        <v>44277.0</v>
      </c>
      <c r="B245" s="5" t="s">
        <v>25</v>
      </c>
      <c r="C245" s="5">
        <v>2021.0</v>
      </c>
      <c r="D245" s="6">
        <v>44277.0</v>
      </c>
      <c r="E245" s="5" t="s">
        <v>17</v>
      </c>
      <c r="F245" s="5" t="s">
        <v>18</v>
      </c>
      <c r="G245" s="5" t="s">
        <v>19</v>
      </c>
      <c r="H245" s="8"/>
      <c r="I245" s="5" t="s">
        <v>62</v>
      </c>
      <c r="J245" s="5" t="s">
        <v>40</v>
      </c>
      <c r="K245" s="5" t="s">
        <v>70</v>
      </c>
      <c r="L245" s="5">
        <v>48.02</v>
      </c>
      <c r="M245" s="5">
        <v>48.195</v>
      </c>
      <c r="N245" s="5" t="s">
        <v>23</v>
      </c>
      <c r="O245" s="10" t="s">
        <v>208</v>
      </c>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row>
    <row r="246">
      <c r="A246" s="4">
        <v>44277.0</v>
      </c>
      <c r="B246" s="5" t="s">
        <v>25</v>
      </c>
      <c r="C246" s="5">
        <v>2021.0</v>
      </c>
      <c r="D246" s="6">
        <v>44304.0</v>
      </c>
      <c r="E246" s="5" t="s">
        <v>17</v>
      </c>
      <c r="F246" s="5" t="s">
        <v>18</v>
      </c>
      <c r="G246" s="5" t="s">
        <v>28</v>
      </c>
      <c r="H246" s="8"/>
      <c r="I246" s="5" t="s">
        <v>62</v>
      </c>
      <c r="J246" s="5" t="s">
        <v>40</v>
      </c>
      <c r="K246" s="5" t="s">
        <v>70</v>
      </c>
      <c r="L246" s="5">
        <v>48.02</v>
      </c>
      <c r="M246" s="5">
        <v>48.195</v>
      </c>
      <c r="N246" s="5" t="s">
        <v>23</v>
      </c>
      <c r="O246" s="10" t="s">
        <v>208</v>
      </c>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row>
    <row r="247">
      <c r="A247" s="4">
        <v>44285.0</v>
      </c>
      <c r="B247" s="5" t="s">
        <v>25</v>
      </c>
      <c r="C247" s="5">
        <v>2021.0</v>
      </c>
      <c r="D247" s="6">
        <v>44289.0</v>
      </c>
      <c r="E247" s="5" t="s">
        <v>17</v>
      </c>
      <c r="F247" s="5" t="s">
        <v>18</v>
      </c>
      <c r="G247" s="5" t="s">
        <v>19</v>
      </c>
      <c r="H247" s="8"/>
      <c r="I247" s="5" t="s">
        <v>62</v>
      </c>
      <c r="J247" s="5" t="s">
        <v>40</v>
      </c>
      <c r="K247" s="5" t="s">
        <v>85</v>
      </c>
      <c r="L247" s="5">
        <v>47.245</v>
      </c>
      <c r="M247" s="5">
        <v>47.28</v>
      </c>
      <c r="N247" s="5" t="s">
        <v>23</v>
      </c>
      <c r="O247" s="7" t="s">
        <v>209</v>
      </c>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row>
    <row r="248">
      <c r="A248" s="4">
        <v>44285.0</v>
      </c>
      <c r="B248" s="5" t="s">
        <v>25</v>
      </c>
      <c r="C248" s="5">
        <v>2021.0</v>
      </c>
      <c r="D248" s="6">
        <v>44317.0</v>
      </c>
      <c r="E248" s="5" t="s">
        <v>17</v>
      </c>
      <c r="F248" s="5" t="s">
        <v>18</v>
      </c>
      <c r="G248" s="5" t="s">
        <v>28</v>
      </c>
      <c r="H248" s="8"/>
      <c r="I248" s="5" t="s">
        <v>62</v>
      </c>
      <c r="J248" s="5" t="s">
        <v>40</v>
      </c>
      <c r="K248" s="5" t="s">
        <v>85</v>
      </c>
      <c r="L248" s="5">
        <v>47.245</v>
      </c>
      <c r="M248" s="5">
        <v>47.28</v>
      </c>
      <c r="N248" s="5" t="s">
        <v>23</v>
      </c>
      <c r="O248" s="7" t="s">
        <v>209</v>
      </c>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row>
    <row r="249">
      <c r="A249" s="4">
        <v>44298.0</v>
      </c>
      <c r="B249" s="5" t="s">
        <v>25</v>
      </c>
      <c r="C249" s="5">
        <v>2021.0</v>
      </c>
      <c r="D249" s="6">
        <v>44317.0</v>
      </c>
      <c r="E249" s="5" t="s">
        <v>17</v>
      </c>
      <c r="F249" s="5" t="s">
        <v>18</v>
      </c>
      <c r="G249" s="5" t="s">
        <v>19</v>
      </c>
      <c r="H249" s="5"/>
      <c r="I249" s="5" t="s">
        <v>62</v>
      </c>
      <c r="J249" s="5" t="s">
        <v>40</v>
      </c>
      <c r="K249" s="5" t="s">
        <v>69</v>
      </c>
      <c r="L249" s="5">
        <v>47.405</v>
      </c>
      <c r="M249" s="5">
        <v>47.58</v>
      </c>
      <c r="N249" s="5" t="s">
        <v>23</v>
      </c>
      <c r="O249" s="7" t="s">
        <v>210</v>
      </c>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row>
    <row r="250">
      <c r="A250" s="4">
        <v>44298.0</v>
      </c>
      <c r="B250" s="5" t="s">
        <v>25</v>
      </c>
      <c r="C250" s="5">
        <v>2021.0</v>
      </c>
      <c r="D250" s="6">
        <v>44348.0</v>
      </c>
      <c r="E250" s="5" t="s">
        <v>17</v>
      </c>
      <c r="F250" s="5" t="s">
        <v>18</v>
      </c>
      <c r="G250" s="5" t="s">
        <v>28</v>
      </c>
      <c r="H250" s="5"/>
      <c r="I250" s="5" t="s">
        <v>62</v>
      </c>
      <c r="J250" s="5" t="s">
        <v>40</v>
      </c>
      <c r="K250" s="5" t="s">
        <v>69</v>
      </c>
      <c r="L250" s="5">
        <v>47.405</v>
      </c>
      <c r="M250" s="5">
        <v>47.58</v>
      </c>
      <c r="N250" s="5" t="s">
        <v>23</v>
      </c>
      <c r="O250" s="7" t="s">
        <v>210</v>
      </c>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row>
    <row r="251">
      <c r="A251" s="4">
        <v>44298.0</v>
      </c>
      <c r="B251" s="5" t="s">
        <v>25</v>
      </c>
      <c r="C251" s="5">
        <v>2021.0</v>
      </c>
      <c r="D251" s="6">
        <v>44302.0</v>
      </c>
      <c r="E251" s="5" t="s">
        <v>17</v>
      </c>
      <c r="F251" s="5" t="s">
        <v>18</v>
      </c>
      <c r="G251" s="5" t="s">
        <v>19</v>
      </c>
      <c r="H251" s="5"/>
      <c r="I251" s="5" t="s">
        <v>62</v>
      </c>
      <c r="J251" s="5" t="s">
        <v>40</v>
      </c>
      <c r="K251" s="5" t="s">
        <v>176</v>
      </c>
      <c r="L251" s="5">
        <v>47.08</v>
      </c>
      <c r="M251" s="5">
        <v>47.1225</v>
      </c>
      <c r="N251" s="5" t="s">
        <v>23</v>
      </c>
      <c r="O251" s="7" t="s">
        <v>210</v>
      </c>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row>
    <row r="252">
      <c r="A252" s="4">
        <v>44256.0</v>
      </c>
      <c r="B252" s="5" t="s">
        <v>25</v>
      </c>
      <c r="C252" s="5">
        <v>2021.0</v>
      </c>
      <c r="D252" s="6">
        <v>44256.0</v>
      </c>
      <c r="E252" s="5" t="s">
        <v>17</v>
      </c>
      <c r="F252" s="5" t="s">
        <v>18</v>
      </c>
      <c r="G252" s="5" t="s">
        <v>19</v>
      </c>
      <c r="H252" s="8"/>
      <c r="I252" s="5" t="s">
        <v>130</v>
      </c>
      <c r="J252" s="5" t="s">
        <v>162</v>
      </c>
      <c r="K252" s="5" t="s">
        <v>211</v>
      </c>
      <c r="L252" s="5"/>
      <c r="M252" s="5"/>
      <c r="N252" s="5" t="s">
        <v>23</v>
      </c>
      <c r="O252" s="10" t="s">
        <v>212</v>
      </c>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row>
    <row r="253">
      <c r="A253" s="4">
        <v>44291.0</v>
      </c>
      <c r="B253" s="5" t="s">
        <v>25</v>
      </c>
      <c r="C253" s="5">
        <v>2021.0</v>
      </c>
      <c r="D253" s="6">
        <v>44291.0</v>
      </c>
      <c r="E253" s="5" t="s">
        <v>17</v>
      </c>
      <c r="F253" s="5" t="s">
        <v>18</v>
      </c>
      <c r="G253" s="5" t="s">
        <v>28</v>
      </c>
      <c r="H253" s="8"/>
      <c r="I253" s="5" t="s">
        <v>130</v>
      </c>
      <c r="J253" s="5" t="s">
        <v>162</v>
      </c>
      <c r="K253" s="5" t="s">
        <v>211</v>
      </c>
      <c r="L253" s="5"/>
      <c r="M253" s="5"/>
      <c r="N253" s="5" t="s">
        <v>23</v>
      </c>
      <c r="O253" s="7" t="s">
        <v>213</v>
      </c>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row>
    <row r="254">
      <c r="A254" s="4">
        <v>44301.0</v>
      </c>
      <c r="B254" s="5" t="s">
        <v>25</v>
      </c>
      <c r="C254" s="5">
        <v>2021.0</v>
      </c>
      <c r="D254" s="6">
        <v>44301.0</v>
      </c>
      <c r="E254" s="5" t="s">
        <v>17</v>
      </c>
      <c r="F254" s="5" t="s">
        <v>18</v>
      </c>
      <c r="G254" s="5" t="s">
        <v>28</v>
      </c>
      <c r="H254" s="8"/>
      <c r="I254" s="5" t="s">
        <v>130</v>
      </c>
      <c r="J254" s="5" t="s">
        <v>162</v>
      </c>
      <c r="K254" s="5" t="s">
        <v>206</v>
      </c>
      <c r="L254" s="5">
        <v>46.25</v>
      </c>
      <c r="M254" s="5">
        <v>46.5318</v>
      </c>
      <c r="N254" s="5" t="s">
        <v>23</v>
      </c>
      <c r="O254" s="7" t="s">
        <v>214</v>
      </c>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row>
    <row r="255">
      <c r="A255" s="4">
        <v>44259.0</v>
      </c>
      <c r="B255" s="5" t="s">
        <v>25</v>
      </c>
      <c r="C255" s="5">
        <v>2021.0</v>
      </c>
      <c r="D255" s="6">
        <v>44317.0</v>
      </c>
      <c r="E255" s="5" t="s">
        <v>17</v>
      </c>
      <c r="F255" s="5" t="s">
        <v>18</v>
      </c>
      <c r="G255" s="5" t="s">
        <v>19</v>
      </c>
      <c r="H255" s="8"/>
      <c r="I255" s="5" t="s">
        <v>197</v>
      </c>
      <c r="J255" s="5" t="s">
        <v>198</v>
      </c>
      <c r="K255" s="12" t="s">
        <v>165</v>
      </c>
      <c r="L255" s="12">
        <v>46.25</v>
      </c>
      <c r="M255" s="12">
        <v>48.43333</v>
      </c>
      <c r="N255" s="5" t="s">
        <v>23</v>
      </c>
      <c r="O255" s="10" t="s">
        <v>215</v>
      </c>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row>
    <row r="256">
      <c r="A256" s="4"/>
      <c r="B256" s="5" t="s">
        <v>25</v>
      </c>
      <c r="C256" s="5">
        <v>2021.0</v>
      </c>
      <c r="D256" s="6">
        <v>44454.0</v>
      </c>
      <c r="E256" s="5" t="s">
        <v>17</v>
      </c>
      <c r="F256" s="5" t="s">
        <v>18</v>
      </c>
      <c r="G256" s="5" t="s">
        <v>28</v>
      </c>
      <c r="H256" s="8"/>
      <c r="I256" s="5" t="s">
        <v>197</v>
      </c>
      <c r="J256" s="5" t="s">
        <v>198</v>
      </c>
      <c r="K256" s="12" t="s">
        <v>165</v>
      </c>
      <c r="L256" s="12">
        <v>46.25</v>
      </c>
      <c r="M256" s="12">
        <v>48.43333</v>
      </c>
      <c r="N256" s="5" t="s">
        <v>23</v>
      </c>
      <c r="O256" s="10" t="s">
        <v>215</v>
      </c>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row>
    <row r="257">
      <c r="A257" s="4"/>
      <c r="B257" s="5" t="s">
        <v>25</v>
      </c>
      <c r="C257" s="5">
        <v>2022.0</v>
      </c>
      <c r="D257" s="6">
        <v>44682.0</v>
      </c>
      <c r="E257" s="5" t="s">
        <v>17</v>
      </c>
      <c r="F257" s="5" t="s">
        <v>18</v>
      </c>
      <c r="G257" s="5" t="s">
        <v>19</v>
      </c>
      <c r="H257" s="8"/>
      <c r="I257" s="5" t="s">
        <v>197</v>
      </c>
      <c r="J257" s="5" t="s">
        <v>198</v>
      </c>
      <c r="K257" s="12" t="s">
        <v>165</v>
      </c>
      <c r="L257" s="12">
        <v>46.25</v>
      </c>
      <c r="M257" s="12">
        <v>48.43333</v>
      </c>
      <c r="N257" s="5" t="s">
        <v>23</v>
      </c>
      <c r="O257" s="5"/>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row>
    <row r="258">
      <c r="A258" s="11">
        <v>44883.0</v>
      </c>
      <c r="B258" s="5" t="s">
        <v>25</v>
      </c>
      <c r="C258" s="5">
        <v>2022.0</v>
      </c>
      <c r="D258" s="6">
        <v>44896.0</v>
      </c>
      <c r="E258" s="5" t="s">
        <v>17</v>
      </c>
      <c r="F258" s="5" t="s">
        <v>18</v>
      </c>
      <c r="G258" s="5" t="s">
        <v>19</v>
      </c>
      <c r="H258" s="8"/>
      <c r="I258" s="5" t="s">
        <v>20</v>
      </c>
      <c r="J258" s="5" t="s">
        <v>21</v>
      </c>
      <c r="K258" s="5" t="s">
        <v>165</v>
      </c>
      <c r="L258" s="12">
        <v>46.25</v>
      </c>
      <c r="M258" s="12">
        <v>48.43333</v>
      </c>
      <c r="N258" s="5" t="s">
        <v>23</v>
      </c>
      <c r="O258" s="10" t="s">
        <v>216</v>
      </c>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row>
    <row r="259">
      <c r="A259" s="11">
        <v>44902.0</v>
      </c>
      <c r="B259" s="5" t="s">
        <v>25</v>
      </c>
      <c r="C259" s="5">
        <v>2022.0</v>
      </c>
      <c r="D259" s="6">
        <v>44902.0</v>
      </c>
      <c r="E259" s="5" t="s">
        <v>17</v>
      </c>
      <c r="F259" s="5" t="s">
        <v>18</v>
      </c>
      <c r="G259" s="5" t="s">
        <v>19</v>
      </c>
      <c r="H259" s="8"/>
      <c r="I259" s="5" t="s">
        <v>20</v>
      </c>
      <c r="J259" s="5" t="s">
        <v>21</v>
      </c>
      <c r="K259" s="5" t="s">
        <v>165</v>
      </c>
      <c r="L259" s="12">
        <v>46.25</v>
      </c>
      <c r="M259" s="12">
        <v>48.43333</v>
      </c>
      <c r="N259" s="5" t="s">
        <v>23</v>
      </c>
      <c r="O259" s="10" t="s">
        <v>217</v>
      </c>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row>
    <row r="260">
      <c r="A260" s="11">
        <v>44917.0</v>
      </c>
      <c r="B260" s="5" t="s">
        <v>25</v>
      </c>
      <c r="C260" s="5">
        <v>2022.0</v>
      </c>
      <c r="D260" s="6">
        <v>44917.0</v>
      </c>
      <c r="E260" s="5" t="s">
        <v>17</v>
      </c>
      <c r="F260" s="5" t="s">
        <v>18</v>
      </c>
      <c r="G260" s="5" t="s">
        <v>19</v>
      </c>
      <c r="H260" s="8"/>
      <c r="I260" s="5" t="s">
        <v>20</v>
      </c>
      <c r="J260" s="5" t="s">
        <v>21</v>
      </c>
      <c r="K260" s="5" t="s">
        <v>165</v>
      </c>
      <c r="L260" s="12">
        <v>46.25</v>
      </c>
      <c r="M260" s="12">
        <v>48.43333</v>
      </c>
      <c r="N260" s="5" t="s">
        <v>23</v>
      </c>
      <c r="O260" s="10" t="s">
        <v>218</v>
      </c>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row>
    <row r="261">
      <c r="A261" s="11">
        <v>44932.0</v>
      </c>
      <c r="B261" s="5" t="s">
        <v>25</v>
      </c>
      <c r="C261" s="5">
        <v>2023.0</v>
      </c>
      <c r="D261" s="6">
        <v>44958.0</v>
      </c>
      <c r="E261" s="5" t="s">
        <v>17</v>
      </c>
      <c r="F261" s="5" t="s">
        <v>18</v>
      </c>
      <c r="G261" s="5" t="s">
        <v>28</v>
      </c>
      <c r="H261" s="8"/>
      <c r="I261" s="5" t="s">
        <v>20</v>
      </c>
      <c r="J261" s="5" t="s">
        <v>21</v>
      </c>
      <c r="K261" s="5" t="s">
        <v>219</v>
      </c>
      <c r="L261" s="8">
        <f>45+46/60</f>
        <v>45.76666667</v>
      </c>
      <c r="M261" s="8">
        <f>46+28/60</f>
        <v>46.46666667</v>
      </c>
      <c r="N261" s="5" t="s">
        <v>23</v>
      </c>
      <c r="O261" s="10" t="s">
        <v>220</v>
      </c>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row>
    <row r="262">
      <c r="A262" s="11">
        <v>44944.0</v>
      </c>
      <c r="B262" s="5" t="s">
        <v>25</v>
      </c>
      <c r="C262" s="5">
        <v>2023.0</v>
      </c>
      <c r="D262" s="6">
        <v>44963.0</v>
      </c>
      <c r="E262" s="5" t="s">
        <v>17</v>
      </c>
      <c r="F262" s="5" t="s">
        <v>18</v>
      </c>
      <c r="G262" s="5" t="s">
        <v>28</v>
      </c>
      <c r="H262" s="8"/>
      <c r="I262" s="5" t="s">
        <v>20</v>
      </c>
      <c r="J262" s="5" t="s">
        <v>21</v>
      </c>
      <c r="K262" s="5" t="s">
        <v>221</v>
      </c>
      <c r="L262" s="8">
        <f>46+28/60</f>
        <v>46.46666667</v>
      </c>
      <c r="M262" s="12">
        <v>48.43333</v>
      </c>
      <c r="N262" s="5" t="s">
        <v>23</v>
      </c>
      <c r="O262" s="30" t="s">
        <v>222</v>
      </c>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row>
    <row r="263">
      <c r="A263" s="4">
        <v>45373.0</v>
      </c>
      <c r="B263" s="5" t="s">
        <v>25</v>
      </c>
      <c r="C263" s="5">
        <v>2023.0</v>
      </c>
      <c r="D263" s="6">
        <v>45047.0</v>
      </c>
      <c r="E263" s="5" t="s">
        <v>17</v>
      </c>
      <c r="F263" s="5" t="s">
        <v>18</v>
      </c>
      <c r="G263" s="5" t="s">
        <v>19</v>
      </c>
      <c r="H263" s="8"/>
      <c r="I263" s="5" t="s">
        <v>197</v>
      </c>
      <c r="J263" s="5" t="s">
        <v>198</v>
      </c>
      <c r="K263" s="12" t="s">
        <v>165</v>
      </c>
      <c r="L263" s="12">
        <v>46.25</v>
      </c>
      <c r="M263" s="12">
        <v>48.43333</v>
      </c>
      <c r="N263" s="5" t="s">
        <v>23</v>
      </c>
      <c r="O263" s="10" t="s">
        <v>223</v>
      </c>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row>
    <row r="264">
      <c r="A264" s="4">
        <v>45247.0</v>
      </c>
      <c r="B264" s="5" t="s">
        <v>25</v>
      </c>
      <c r="C264" s="5">
        <v>2023.0</v>
      </c>
      <c r="D264" s="6">
        <v>45261.0</v>
      </c>
      <c r="E264" s="5" t="s">
        <v>17</v>
      </c>
      <c r="F264" s="5" t="s">
        <v>18</v>
      </c>
      <c r="G264" s="5" t="s">
        <v>19</v>
      </c>
      <c r="H264" s="8"/>
      <c r="I264" s="5" t="s">
        <v>20</v>
      </c>
      <c r="J264" s="5" t="s">
        <v>21</v>
      </c>
      <c r="K264" s="5" t="s">
        <v>165</v>
      </c>
      <c r="L264" s="12">
        <v>46.25</v>
      </c>
      <c r="M264" s="12">
        <v>48.43333</v>
      </c>
      <c r="N264" s="5" t="s">
        <v>23</v>
      </c>
      <c r="O264" s="10" t="s">
        <v>224</v>
      </c>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row>
    <row r="265">
      <c r="A265" s="11">
        <v>45266.0</v>
      </c>
      <c r="B265" s="5" t="s">
        <v>25</v>
      </c>
      <c r="C265" s="5">
        <v>2023.0</v>
      </c>
      <c r="D265" s="6">
        <v>45632.0</v>
      </c>
      <c r="E265" s="5" t="s">
        <v>17</v>
      </c>
      <c r="F265" s="5" t="s">
        <v>18</v>
      </c>
      <c r="G265" s="5" t="s">
        <v>19</v>
      </c>
      <c r="H265" s="8"/>
      <c r="I265" s="5" t="s">
        <v>20</v>
      </c>
      <c r="J265" s="5" t="s">
        <v>21</v>
      </c>
      <c r="K265" s="5" t="s">
        <v>165</v>
      </c>
      <c r="L265" s="12">
        <v>46.25</v>
      </c>
      <c r="M265" s="12">
        <v>48.43333</v>
      </c>
      <c r="N265" s="5" t="s">
        <v>23</v>
      </c>
      <c r="O265" s="10" t="s">
        <v>225</v>
      </c>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row>
    <row r="266">
      <c r="A266" s="11">
        <v>45280.0</v>
      </c>
      <c r="B266" s="5" t="s">
        <v>25</v>
      </c>
      <c r="C266" s="5">
        <v>2023.0</v>
      </c>
      <c r="D266" s="6">
        <v>45280.0</v>
      </c>
      <c r="E266" s="5" t="s">
        <v>17</v>
      </c>
      <c r="F266" s="5" t="s">
        <v>18</v>
      </c>
      <c r="G266" s="5" t="s">
        <v>19</v>
      </c>
      <c r="H266" s="8"/>
      <c r="I266" s="5" t="s">
        <v>20</v>
      </c>
      <c r="J266" s="5" t="s">
        <v>21</v>
      </c>
      <c r="K266" s="5" t="s">
        <v>165</v>
      </c>
      <c r="L266" s="12">
        <v>46.25</v>
      </c>
      <c r="M266" s="12">
        <v>48.43333</v>
      </c>
      <c r="N266" s="5" t="s">
        <v>23</v>
      </c>
      <c r="O266" s="10" t="s">
        <v>226</v>
      </c>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row>
    <row r="267">
      <c r="A267" s="11">
        <v>45296.0</v>
      </c>
      <c r="B267" s="5" t="s">
        <v>25</v>
      </c>
      <c r="C267" s="5">
        <v>2024.0</v>
      </c>
      <c r="D267" s="6">
        <v>45323.0</v>
      </c>
      <c r="E267" s="5" t="s">
        <v>17</v>
      </c>
      <c r="F267" s="5" t="s">
        <v>18</v>
      </c>
      <c r="G267" s="5" t="s">
        <v>28</v>
      </c>
      <c r="H267" s="8"/>
      <c r="I267" s="5" t="s">
        <v>20</v>
      </c>
      <c r="J267" s="5" t="s">
        <v>21</v>
      </c>
      <c r="K267" s="5" t="s">
        <v>227</v>
      </c>
      <c r="L267" s="8">
        <f>45+46/60</f>
        <v>45.76666667</v>
      </c>
      <c r="M267" s="8">
        <f>46+28/60</f>
        <v>46.46666667</v>
      </c>
      <c r="N267" s="5" t="s">
        <v>23</v>
      </c>
      <c r="O267" s="10" t="s">
        <v>228</v>
      </c>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row>
    <row r="268">
      <c r="A268" s="11">
        <v>45309.0</v>
      </c>
      <c r="B268" s="5" t="s">
        <v>25</v>
      </c>
      <c r="C268" s="5">
        <v>2024.0</v>
      </c>
      <c r="D268" s="6">
        <v>45323.0</v>
      </c>
      <c r="E268" s="5" t="s">
        <v>17</v>
      </c>
      <c r="F268" s="5" t="s">
        <v>18</v>
      </c>
      <c r="G268" s="5" t="s">
        <v>28</v>
      </c>
      <c r="H268" s="8"/>
      <c r="I268" s="5" t="s">
        <v>20</v>
      </c>
      <c r="J268" s="5" t="s">
        <v>21</v>
      </c>
      <c r="K268" s="5" t="s">
        <v>165</v>
      </c>
      <c r="L268" s="12">
        <v>46.25</v>
      </c>
      <c r="M268" s="12">
        <v>48.43333</v>
      </c>
      <c r="N268" s="5" t="s">
        <v>23</v>
      </c>
      <c r="O268" s="10" t="s">
        <v>229</v>
      </c>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row>
    <row r="269">
      <c r="A269" s="4">
        <v>45373.0</v>
      </c>
      <c r="B269" s="5" t="s">
        <v>25</v>
      </c>
      <c r="C269" s="5">
        <v>2024.0</v>
      </c>
      <c r="D269" s="6">
        <v>45413.0</v>
      </c>
      <c r="E269" s="5" t="s">
        <v>17</v>
      </c>
      <c r="F269" s="5" t="s">
        <v>18</v>
      </c>
      <c r="G269" s="5" t="s">
        <v>19</v>
      </c>
      <c r="H269" s="8"/>
      <c r="I269" s="5" t="s">
        <v>197</v>
      </c>
      <c r="J269" s="5" t="s">
        <v>198</v>
      </c>
      <c r="K269" s="12" t="s">
        <v>165</v>
      </c>
      <c r="L269" s="12">
        <v>46.25</v>
      </c>
      <c r="M269" s="12">
        <v>48.43333</v>
      </c>
      <c r="N269" s="5" t="s">
        <v>23</v>
      </c>
      <c r="O269" s="10" t="s">
        <v>230</v>
      </c>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row>
    <row r="270">
      <c r="A270" s="4">
        <v>45618.0</v>
      </c>
      <c r="B270" s="5" t="s">
        <v>25</v>
      </c>
      <c r="C270" s="5">
        <v>2024.0</v>
      </c>
      <c r="D270" s="6">
        <v>45627.0</v>
      </c>
      <c r="E270" s="5" t="s">
        <v>17</v>
      </c>
      <c r="F270" s="5" t="s">
        <v>18</v>
      </c>
      <c r="G270" s="5" t="s">
        <v>19</v>
      </c>
      <c r="H270" s="8"/>
      <c r="I270" s="5" t="s">
        <v>20</v>
      </c>
      <c r="J270" s="5" t="s">
        <v>21</v>
      </c>
      <c r="K270" s="12" t="s">
        <v>231</v>
      </c>
      <c r="L270" s="5">
        <v>38.7666488</v>
      </c>
      <c r="M270" s="12">
        <v>48.43333</v>
      </c>
      <c r="N270" s="5" t="s">
        <v>23</v>
      </c>
      <c r="O270" s="10" t="s">
        <v>232</v>
      </c>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row>
    <row r="271">
      <c r="A271" s="4">
        <v>45632.0</v>
      </c>
      <c r="B271" s="5" t="s">
        <v>25</v>
      </c>
      <c r="C271" s="5">
        <v>2024.0</v>
      </c>
      <c r="D271" s="6">
        <v>45632.0</v>
      </c>
      <c r="E271" s="5" t="s">
        <v>17</v>
      </c>
      <c r="F271" s="5" t="s">
        <v>18</v>
      </c>
      <c r="G271" s="5" t="s">
        <v>19</v>
      </c>
      <c r="H271" s="8"/>
      <c r="I271" s="5" t="s">
        <v>20</v>
      </c>
      <c r="J271" s="5" t="s">
        <v>21</v>
      </c>
      <c r="K271" s="5" t="s">
        <v>233</v>
      </c>
      <c r="L271" s="8">
        <f t="shared" ref="L271:L273" si="1">45+46/60</f>
        <v>45.76666667</v>
      </c>
      <c r="M271" s="12">
        <v>48.43333</v>
      </c>
      <c r="N271" s="5" t="s">
        <v>23</v>
      </c>
      <c r="O271" s="10" t="s">
        <v>234</v>
      </c>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row>
    <row r="272">
      <c r="A272" s="11">
        <v>45649.0</v>
      </c>
      <c r="B272" s="5" t="s">
        <v>25</v>
      </c>
      <c r="C272" s="5">
        <v>2024.0</v>
      </c>
      <c r="D272" s="6">
        <v>45649.0</v>
      </c>
      <c r="E272" s="5" t="s">
        <v>17</v>
      </c>
      <c r="F272" s="5" t="s">
        <v>18</v>
      </c>
      <c r="G272" s="5" t="s">
        <v>19</v>
      </c>
      <c r="H272" s="8"/>
      <c r="I272" s="5" t="s">
        <v>20</v>
      </c>
      <c r="J272" s="5" t="s">
        <v>21</v>
      </c>
      <c r="K272" s="5" t="s">
        <v>233</v>
      </c>
      <c r="L272" s="8">
        <f t="shared" si="1"/>
        <v>45.76666667</v>
      </c>
      <c r="M272" s="12">
        <v>48.43333</v>
      </c>
      <c r="N272" s="5" t="s">
        <v>23</v>
      </c>
      <c r="O272" s="10" t="s">
        <v>235</v>
      </c>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row>
    <row r="273">
      <c r="A273" s="11">
        <v>45665.0</v>
      </c>
      <c r="B273" s="5" t="s">
        <v>25</v>
      </c>
      <c r="C273" s="5">
        <v>2024.0</v>
      </c>
      <c r="D273" s="6">
        <v>45672.0</v>
      </c>
      <c r="E273" s="5" t="s">
        <v>17</v>
      </c>
      <c r="F273" s="5" t="s">
        <v>18</v>
      </c>
      <c r="G273" s="5" t="s">
        <v>28</v>
      </c>
      <c r="H273" s="8"/>
      <c r="I273" s="5" t="s">
        <v>20</v>
      </c>
      <c r="J273" s="5" t="s">
        <v>28</v>
      </c>
      <c r="K273" s="5" t="s">
        <v>219</v>
      </c>
      <c r="L273" s="8">
        <f t="shared" si="1"/>
        <v>45.76666667</v>
      </c>
      <c r="M273" s="8">
        <f>46+28/60</f>
        <v>46.46666667</v>
      </c>
      <c r="N273" s="5" t="s">
        <v>23</v>
      </c>
      <c r="O273" s="10" t="s">
        <v>236</v>
      </c>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row>
    <row r="274">
      <c r="A274" s="4">
        <v>45684.0</v>
      </c>
      <c r="B274" s="5" t="s">
        <v>25</v>
      </c>
      <c r="C274" s="5">
        <v>2025.0</v>
      </c>
      <c r="D274" s="31">
        <v>45699.0</v>
      </c>
      <c r="E274" s="5" t="s">
        <v>17</v>
      </c>
      <c r="F274" s="5" t="s">
        <v>18</v>
      </c>
      <c r="G274" s="5" t="s">
        <v>28</v>
      </c>
      <c r="H274" s="8"/>
      <c r="I274" s="5" t="s">
        <v>20</v>
      </c>
      <c r="J274" s="5" t="s">
        <v>28</v>
      </c>
      <c r="K274" s="5" t="s">
        <v>221</v>
      </c>
      <c r="L274" s="8">
        <f>46+28/60</f>
        <v>46.46666667</v>
      </c>
      <c r="M274" s="12">
        <v>48.43333</v>
      </c>
      <c r="N274" s="5" t="s">
        <v>23</v>
      </c>
      <c r="O274" s="10" t="s">
        <v>237</v>
      </c>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row>
    <row r="275">
      <c r="A275" s="4">
        <v>45729.0</v>
      </c>
      <c r="B275" s="5" t="s">
        <v>25</v>
      </c>
      <c r="C275" s="5">
        <v>2025.0</v>
      </c>
      <c r="D275" s="4">
        <v>45778.0</v>
      </c>
      <c r="E275" s="5" t="s">
        <v>17</v>
      </c>
      <c r="F275" s="5" t="s">
        <v>18</v>
      </c>
      <c r="G275" s="5" t="s">
        <v>19</v>
      </c>
      <c r="H275" s="8"/>
      <c r="I275" s="5" t="s">
        <v>197</v>
      </c>
      <c r="J275" s="5" t="s">
        <v>198</v>
      </c>
      <c r="K275" s="12" t="s">
        <v>165</v>
      </c>
      <c r="L275" s="12">
        <v>46.25</v>
      </c>
      <c r="M275" s="12">
        <v>48.43333</v>
      </c>
      <c r="N275" s="5" t="s">
        <v>23</v>
      </c>
      <c r="O275" s="10" t="s">
        <v>238</v>
      </c>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c r="AK1001" s="8"/>
      <c r="AL1001" s="8"/>
      <c r="AM1001" s="8"/>
      <c r="AN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c r="AK1002" s="8"/>
      <c r="AL1002" s="8"/>
      <c r="AM1002" s="8"/>
      <c r="AN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c r="AK1003" s="8"/>
      <c r="AL1003" s="8"/>
      <c r="AM1003" s="8"/>
      <c r="AN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c r="AK1004" s="8"/>
      <c r="AL1004" s="8"/>
      <c r="AM1004" s="8"/>
      <c r="AN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c r="AK1005" s="8"/>
      <c r="AL1005" s="8"/>
      <c r="AM1005" s="8"/>
      <c r="AN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c r="AK1006" s="8"/>
      <c r="AL1006" s="8"/>
      <c r="AM1006" s="8"/>
      <c r="AN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c r="AK1007" s="8"/>
      <c r="AL1007" s="8"/>
      <c r="AM1007" s="8"/>
      <c r="AN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c r="AK1010" s="8"/>
      <c r="AL1010" s="8"/>
      <c r="AM1010" s="8"/>
      <c r="AN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c r="AK1011" s="8"/>
      <c r="AL1011" s="8"/>
      <c r="AM1011" s="8"/>
      <c r="AN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c r="AK1012" s="8"/>
      <c r="AL1012" s="8"/>
      <c r="AM1012" s="8"/>
      <c r="AN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c r="AK1013" s="8"/>
      <c r="AL1013" s="8"/>
      <c r="AM1013" s="8"/>
      <c r="AN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c r="AK1014" s="8"/>
      <c r="AL1014" s="8"/>
      <c r="AM1014" s="8"/>
      <c r="AN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c r="AK1015" s="8"/>
      <c r="AL1015" s="8"/>
      <c r="AM1015" s="8"/>
      <c r="AN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c r="AK1016" s="8"/>
      <c r="AL1016" s="8"/>
      <c r="AM1016" s="8"/>
      <c r="AN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c r="AK1017" s="8"/>
      <c r="AL1017" s="8"/>
      <c r="AM1017" s="8"/>
      <c r="AN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c r="AJ1018" s="8"/>
      <c r="AK1018" s="8"/>
      <c r="AL1018" s="8"/>
      <c r="AM1018" s="8"/>
      <c r="AN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c r="AJ1019" s="8"/>
      <c r="AK1019" s="8"/>
      <c r="AL1019" s="8"/>
      <c r="AM1019" s="8"/>
      <c r="AN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c r="AJ1020" s="8"/>
      <c r="AK1020" s="8"/>
      <c r="AL1020" s="8"/>
      <c r="AM1020" s="8"/>
      <c r="AN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c r="AJ1021" s="8"/>
      <c r="AK1021" s="8"/>
      <c r="AL1021" s="8"/>
      <c r="AM1021" s="8"/>
      <c r="AN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c r="AJ1022" s="8"/>
      <c r="AK1022" s="8"/>
      <c r="AL1022" s="8"/>
      <c r="AM1022" s="8"/>
      <c r="AN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c r="AJ1023" s="8"/>
      <c r="AK1023" s="8"/>
      <c r="AL1023" s="8"/>
      <c r="AM1023" s="8"/>
      <c r="AN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c r="AJ1024" s="8"/>
      <c r="AK1024" s="8"/>
      <c r="AL1024" s="8"/>
      <c r="AM1024" s="8"/>
      <c r="AN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c r="AJ1025" s="8"/>
      <c r="AK1025" s="8"/>
      <c r="AL1025" s="8"/>
      <c r="AM1025" s="8"/>
      <c r="AN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c r="AJ1026" s="8"/>
      <c r="AK1026" s="8"/>
      <c r="AL1026" s="8"/>
      <c r="AM1026" s="8"/>
      <c r="AN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c r="AJ1027" s="8"/>
      <c r="AK1027" s="8"/>
      <c r="AL1027" s="8"/>
      <c r="AM1027" s="8"/>
      <c r="AN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c r="AJ1028" s="8"/>
      <c r="AK1028" s="8"/>
      <c r="AL1028" s="8"/>
      <c r="AM1028" s="8"/>
      <c r="AN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c r="AJ1029" s="8"/>
      <c r="AK1029" s="8"/>
      <c r="AL1029" s="8"/>
      <c r="AM1029" s="8"/>
      <c r="AN1029" s="8"/>
    </row>
    <row r="1030">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c r="AJ1030" s="8"/>
      <c r="AK1030" s="8"/>
      <c r="AL1030" s="8"/>
      <c r="AM1030" s="8"/>
      <c r="AN1030" s="8"/>
    </row>
    <row r="103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c r="AJ1031" s="8"/>
      <c r="AK1031" s="8"/>
      <c r="AL1031" s="8"/>
      <c r="AM1031" s="8"/>
      <c r="AN1031" s="8"/>
    </row>
    <row r="103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c r="AJ1032" s="8"/>
      <c r="AK1032" s="8"/>
      <c r="AL1032" s="8"/>
      <c r="AM1032" s="8"/>
      <c r="AN1032" s="8"/>
    </row>
    <row r="103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c r="AJ1033" s="8"/>
      <c r="AK1033" s="8"/>
      <c r="AL1033" s="8"/>
      <c r="AM1033" s="8"/>
      <c r="AN1033" s="8"/>
    </row>
    <row r="1034">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c r="AJ1034" s="8"/>
      <c r="AK1034" s="8"/>
      <c r="AL1034" s="8"/>
      <c r="AM1034" s="8"/>
      <c r="AN1034" s="8"/>
    </row>
    <row r="103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c r="AJ1035" s="8"/>
      <c r="AK1035" s="8"/>
      <c r="AL1035" s="8"/>
      <c r="AM1035" s="8"/>
      <c r="AN1035" s="8"/>
    </row>
    <row r="1036">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c r="AJ1036" s="8"/>
      <c r="AK1036" s="8"/>
      <c r="AL1036" s="8"/>
      <c r="AM1036" s="8"/>
      <c r="AN1036" s="8"/>
    </row>
  </sheetData>
  <customSheetViews>
    <customSheetView guid="{87C4948F-DD0D-467D-BC7D-4ADD2092F08A}" filter="1" showAutoFilter="1">
      <autoFilter ref="$A$1:$AN$1036"/>
    </customSheetView>
  </customSheetViews>
  <hyperlinks>
    <hyperlink r:id="rId4" ref="O2"/>
    <hyperlink r:id="rId5" ref="O3"/>
    <hyperlink r:id="rId6" ref="O4"/>
    <hyperlink r:id="rId7" ref="O5"/>
    <hyperlink r:id="rId8" ref="O6"/>
    <hyperlink r:id="rId9" ref="O7"/>
    <hyperlink r:id="rId10" ref="O8"/>
    <hyperlink r:id="rId11" ref="O9"/>
    <hyperlink r:id="rId12" ref="O10"/>
    <hyperlink r:id="rId13" ref="O11"/>
    <hyperlink r:id="rId14" ref="O12"/>
    <hyperlink r:id="rId15" ref="O13"/>
    <hyperlink r:id="rId16" ref="P13"/>
    <hyperlink r:id="rId17" ref="O14"/>
    <hyperlink r:id="rId18" ref="O15"/>
    <hyperlink r:id="rId19" ref="O16"/>
    <hyperlink r:id="rId20" ref="O17"/>
    <hyperlink r:id="rId21" ref="O18"/>
    <hyperlink r:id="rId22" ref="O19"/>
    <hyperlink r:id="rId23" ref="O20"/>
    <hyperlink r:id="rId24" ref="O21"/>
    <hyperlink r:id="rId25" ref="O22"/>
    <hyperlink r:id="rId26" ref="O23"/>
    <hyperlink r:id="rId27" ref="O24"/>
    <hyperlink r:id="rId28" ref="O25"/>
    <hyperlink r:id="rId29" ref="O26"/>
    <hyperlink r:id="rId30" ref="O27"/>
    <hyperlink r:id="rId31" ref="O28"/>
    <hyperlink r:id="rId32" ref="O29"/>
    <hyperlink r:id="rId33" ref="O30"/>
    <hyperlink r:id="rId34" ref="O31"/>
    <hyperlink r:id="rId35" ref="O32"/>
    <hyperlink r:id="rId36" ref="O33"/>
    <hyperlink r:id="rId37" ref="O34"/>
    <hyperlink r:id="rId38" ref="O35"/>
    <hyperlink r:id="rId39" ref="O36"/>
    <hyperlink r:id="rId40" ref="O37"/>
    <hyperlink r:id="rId41" ref="O38"/>
    <hyperlink r:id="rId42" ref="O39"/>
    <hyperlink r:id="rId43" ref="O40"/>
    <hyperlink r:id="rId44" ref="O41"/>
    <hyperlink r:id="rId45" ref="O42"/>
    <hyperlink r:id="rId46" ref="O43"/>
    <hyperlink r:id="rId47" ref="O44"/>
    <hyperlink r:id="rId48" ref="O45"/>
    <hyperlink r:id="rId49" ref="O46"/>
    <hyperlink r:id="rId50" ref="O47"/>
    <hyperlink r:id="rId51" ref="O48"/>
    <hyperlink r:id="rId52" ref="O49"/>
    <hyperlink r:id="rId53" ref="O50"/>
    <hyperlink r:id="rId54" ref="O51"/>
    <hyperlink r:id="rId55" ref="O52"/>
    <hyperlink r:id="rId56" ref="O53"/>
    <hyperlink r:id="rId57" ref="O54"/>
    <hyperlink r:id="rId58" ref="O55"/>
    <hyperlink r:id="rId59" ref="O56"/>
    <hyperlink r:id="rId60" ref="O57"/>
    <hyperlink r:id="rId61" ref="O58"/>
    <hyperlink r:id="rId62" ref="O59"/>
    <hyperlink r:id="rId63" ref="O60"/>
    <hyperlink r:id="rId64" ref="O61"/>
    <hyperlink r:id="rId65" ref="O62"/>
    <hyperlink r:id="rId66" ref="O63"/>
    <hyperlink r:id="rId67" ref="O64"/>
    <hyperlink r:id="rId68" ref="O65"/>
    <hyperlink r:id="rId69" ref="O66"/>
    <hyperlink r:id="rId70" ref="O67"/>
    <hyperlink r:id="rId71" ref="O68"/>
    <hyperlink r:id="rId72" ref="O69"/>
    <hyperlink r:id="rId73" ref="O70"/>
    <hyperlink r:id="rId74" ref="O71"/>
    <hyperlink r:id="rId75" ref="O72"/>
    <hyperlink r:id="rId76" ref="O73"/>
    <hyperlink r:id="rId77" ref="O74"/>
    <hyperlink r:id="rId78" ref="O75"/>
    <hyperlink r:id="rId79" ref="O76"/>
    <hyperlink r:id="rId80" ref="O77"/>
    <hyperlink r:id="rId81" ref="O78"/>
    <hyperlink r:id="rId82" ref="O79"/>
    <hyperlink r:id="rId83" ref="O80"/>
    <hyperlink r:id="rId84" ref="O81"/>
    <hyperlink r:id="rId85" ref="O82"/>
    <hyperlink r:id="rId86" ref="O83"/>
    <hyperlink r:id="rId87" ref="O84"/>
    <hyperlink r:id="rId88" ref="O85"/>
    <hyperlink r:id="rId89" ref="O86"/>
    <hyperlink r:id="rId90" ref="O87"/>
    <hyperlink r:id="rId91" ref="O88"/>
    <hyperlink r:id="rId92" ref="O89"/>
    <hyperlink r:id="rId93" ref="O90"/>
    <hyperlink r:id="rId94" ref="O91"/>
    <hyperlink r:id="rId95" ref="O92"/>
    <hyperlink r:id="rId96" ref="O93"/>
    <hyperlink r:id="rId97" ref="O94"/>
    <hyperlink r:id="rId98" ref="O96"/>
    <hyperlink r:id="rId99" ref="O97"/>
    <hyperlink r:id="rId100" ref="O98"/>
    <hyperlink r:id="rId101" ref="O99"/>
    <hyperlink r:id="rId102" ref="O100"/>
    <hyperlink r:id="rId103" ref="O101"/>
    <hyperlink r:id="rId104" ref="O102"/>
    <hyperlink r:id="rId105" ref="O103"/>
    <hyperlink r:id="rId106" ref="O104"/>
    <hyperlink r:id="rId107" ref="O105"/>
    <hyperlink r:id="rId108" ref="O106"/>
    <hyperlink r:id="rId109" ref="O107"/>
    <hyperlink r:id="rId110" ref="O108"/>
    <hyperlink r:id="rId111" ref="O109"/>
    <hyperlink r:id="rId112" ref="O110"/>
    <hyperlink r:id="rId113" ref="O111"/>
    <hyperlink r:id="rId114" ref="O112"/>
    <hyperlink r:id="rId115" ref="O113"/>
    <hyperlink r:id="rId116" ref="O114"/>
    <hyperlink r:id="rId117" ref="O116"/>
    <hyperlink r:id="rId118" ref="O117"/>
    <hyperlink r:id="rId119" ref="O118"/>
    <hyperlink r:id="rId120" ref="O119"/>
    <hyperlink r:id="rId121" ref="O120"/>
    <hyperlink r:id="rId122" ref="O121"/>
    <hyperlink r:id="rId123" ref="O122"/>
    <hyperlink r:id="rId124" ref="O123"/>
    <hyperlink r:id="rId125" ref="O124"/>
    <hyperlink r:id="rId126" ref="O125"/>
    <hyperlink r:id="rId127" ref="O126"/>
    <hyperlink r:id="rId128" ref="O127"/>
    <hyperlink r:id="rId129" ref="O128"/>
    <hyperlink r:id="rId130" ref="O129"/>
    <hyperlink r:id="rId131" ref="O130"/>
    <hyperlink r:id="rId132" ref="O131"/>
    <hyperlink r:id="rId133" ref="O132"/>
    <hyperlink r:id="rId134" ref="O133"/>
    <hyperlink r:id="rId135" ref="O134"/>
    <hyperlink r:id="rId136" ref="O135"/>
    <hyperlink r:id="rId137" ref="O136"/>
    <hyperlink r:id="rId138" ref="O137"/>
    <hyperlink r:id="rId139" ref="O138"/>
    <hyperlink r:id="rId140" ref="O139"/>
    <hyperlink r:id="rId141" ref="O140"/>
    <hyperlink r:id="rId142" ref="O141"/>
    <hyperlink r:id="rId143" ref="O142"/>
    <hyperlink r:id="rId144" ref="O143"/>
    <hyperlink r:id="rId145" ref="O144"/>
    <hyperlink r:id="rId146" ref="O145"/>
    <hyperlink r:id="rId147" ref="O146"/>
    <hyperlink r:id="rId148" ref="O147"/>
    <hyperlink r:id="rId149" ref="O148"/>
    <hyperlink r:id="rId150" ref="O149"/>
    <hyperlink r:id="rId151" ref="O150"/>
    <hyperlink r:id="rId152" ref="O151"/>
    <hyperlink r:id="rId153" ref="O152"/>
    <hyperlink r:id="rId154" ref="O153"/>
    <hyperlink r:id="rId155" ref="O154"/>
    <hyperlink r:id="rId156" ref="O155"/>
    <hyperlink r:id="rId157" ref="O156"/>
    <hyperlink r:id="rId158" ref="O157"/>
    <hyperlink r:id="rId159" ref="O158"/>
    <hyperlink r:id="rId160" ref="O159"/>
    <hyperlink r:id="rId161" ref="O160"/>
    <hyperlink r:id="rId162" ref="O161"/>
    <hyperlink r:id="rId163" ref="O162"/>
    <hyperlink r:id="rId164" ref="O163"/>
    <hyperlink r:id="rId165" ref="O164"/>
    <hyperlink r:id="rId166" ref="O165"/>
    <hyperlink r:id="rId167" ref="O166"/>
    <hyperlink r:id="rId168" ref="O167"/>
    <hyperlink r:id="rId169" ref="O168"/>
    <hyperlink r:id="rId170" ref="O169"/>
    <hyperlink r:id="rId171" ref="O170"/>
    <hyperlink r:id="rId172" ref="O171"/>
    <hyperlink r:id="rId173" ref="O172"/>
    <hyperlink r:id="rId174" ref="O173"/>
    <hyperlink r:id="rId175" ref="O174"/>
    <hyperlink r:id="rId176" ref="O175"/>
    <hyperlink r:id="rId177" ref="O176"/>
    <hyperlink r:id="rId178" ref="O177"/>
    <hyperlink r:id="rId179" ref="O178"/>
    <hyperlink r:id="rId180" ref="O179"/>
    <hyperlink r:id="rId181" ref="O180"/>
    <hyperlink r:id="rId182" ref="O181"/>
    <hyperlink r:id="rId183" ref="O182"/>
    <hyperlink r:id="rId184" ref="O183"/>
    <hyperlink r:id="rId185" ref="O184"/>
    <hyperlink r:id="rId186" ref="O185"/>
    <hyperlink r:id="rId187" ref="O186"/>
    <hyperlink r:id="rId188" ref="O187"/>
    <hyperlink r:id="rId189" ref="P187"/>
    <hyperlink r:id="rId190" ref="O188"/>
    <hyperlink r:id="rId191" ref="O189"/>
    <hyperlink r:id="rId192" ref="O190"/>
    <hyperlink r:id="rId193" ref="O191"/>
    <hyperlink r:id="rId194" ref="O192"/>
    <hyperlink r:id="rId195" ref="O193"/>
    <hyperlink r:id="rId196" ref="O194"/>
    <hyperlink r:id="rId197" ref="O195"/>
    <hyperlink r:id="rId198" ref="O196"/>
    <hyperlink r:id="rId199" ref="O197"/>
    <hyperlink r:id="rId200" ref="O198"/>
    <hyperlink r:id="rId201" ref="O199"/>
    <hyperlink r:id="rId202" ref="O200"/>
    <hyperlink r:id="rId203" ref="O201"/>
    <hyperlink r:id="rId204" ref="O202"/>
    <hyperlink r:id="rId205" ref="O203"/>
    <hyperlink r:id="rId206" ref="O204"/>
    <hyperlink r:id="rId207" ref="O205"/>
    <hyperlink r:id="rId208" ref="O206"/>
    <hyperlink r:id="rId209" ref="O207"/>
    <hyperlink r:id="rId210" ref="O208"/>
    <hyperlink r:id="rId211" ref="O209"/>
    <hyperlink r:id="rId212" ref="O210"/>
    <hyperlink r:id="rId213" ref="O211"/>
    <hyperlink r:id="rId214" ref="O212"/>
    <hyperlink r:id="rId215" ref="O213"/>
    <hyperlink r:id="rId216" ref="O214"/>
    <hyperlink r:id="rId217" ref="O215"/>
    <hyperlink r:id="rId218" ref="O216"/>
    <hyperlink r:id="rId219" ref="O217"/>
    <hyperlink r:id="rId220" ref="O218"/>
    <hyperlink r:id="rId221" ref="O219"/>
    <hyperlink r:id="rId222" ref="O220"/>
    <hyperlink r:id="rId223" ref="O221"/>
    <hyperlink r:id="rId224" ref="O222"/>
    <hyperlink r:id="rId225" ref="O223"/>
    <hyperlink r:id="rId226" ref="O224"/>
    <hyperlink r:id="rId227" ref="O225"/>
    <hyperlink r:id="rId228" ref="O226"/>
    <hyperlink r:id="rId229" ref="O227"/>
    <hyperlink r:id="rId230" ref="O228"/>
    <hyperlink r:id="rId231" ref="O229"/>
    <hyperlink r:id="rId232" ref="O230"/>
    <hyperlink r:id="rId233" ref="O231"/>
    <hyperlink r:id="rId234" ref="O232"/>
    <hyperlink r:id="rId235" ref="O233"/>
    <hyperlink r:id="rId236" ref="O234"/>
    <hyperlink r:id="rId237" ref="O235"/>
    <hyperlink r:id="rId238" ref="O236"/>
    <hyperlink r:id="rId239" ref="O237"/>
    <hyperlink r:id="rId240" ref="O238"/>
    <hyperlink r:id="rId241" ref="O239"/>
    <hyperlink r:id="rId242" ref="O240"/>
    <hyperlink r:id="rId243" ref="O241"/>
    <hyperlink r:id="rId244" ref="O242"/>
    <hyperlink r:id="rId245" ref="O243"/>
    <hyperlink r:id="rId246" ref="O244"/>
    <hyperlink r:id="rId247" ref="O245"/>
    <hyperlink r:id="rId248" ref="O246"/>
    <hyperlink r:id="rId249" ref="O247"/>
    <hyperlink r:id="rId250" ref="O248"/>
    <hyperlink r:id="rId251" ref="O249"/>
    <hyperlink r:id="rId252" ref="O250"/>
    <hyperlink r:id="rId253" ref="O251"/>
    <hyperlink r:id="rId254" ref="O252"/>
    <hyperlink r:id="rId255" ref="O253"/>
    <hyperlink r:id="rId256" ref="O254"/>
    <hyperlink r:id="rId257" ref="O255"/>
    <hyperlink r:id="rId258" ref="O256"/>
    <hyperlink r:id="rId259" ref="O258"/>
    <hyperlink r:id="rId260" ref="O259"/>
    <hyperlink r:id="rId261" ref="O260"/>
    <hyperlink r:id="rId262" ref="O261"/>
    <hyperlink r:id="rId263" ref="O262"/>
    <hyperlink r:id="rId264" ref="O263"/>
    <hyperlink r:id="rId265" ref="O264"/>
    <hyperlink r:id="rId266" ref="O265"/>
    <hyperlink r:id="rId267" ref="O266"/>
    <hyperlink r:id="rId268" ref="O267"/>
    <hyperlink r:id="rId269" ref="O268"/>
    <hyperlink r:id="rId270" ref="O269"/>
    <hyperlink r:id="rId271" ref="O270"/>
    <hyperlink r:id="rId272" ref="O271"/>
    <hyperlink r:id="rId273" ref="O272"/>
    <hyperlink r:id="rId274" ref="O273"/>
    <hyperlink r:id="rId275" ref="O274"/>
    <hyperlink r:id="rId276" ref="O275"/>
  </hyperlinks>
  <drawing r:id="rId277"/>
  <legacyDrawing r:id="rId2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5" max="5" width="13.5"/>
    <col customWidth="1" min="7" max="7" width="16.5"/>
    <col customWidth="1" min="8" max="8" width="17.13"/>
    <col customWidth="1" min="9" max="9" width="33.5"/>
    <col customWidth="1" min="10" max="10" width="39.75"/>
    <col customWidth="1" min="11" max="11" width="29.88"/>
    <col customWidth="1" min="12" max="12" width="16.75"/>
    <col customWidth="1" min="16" max="16" width="63.0"/>
    <col customWidth="1" min="17" max="17" width="68.25"/>
  </cols>
  <sheetData>
    <row r="1">
      <c r="A1" s="1" t="s">
        <v>0</v>
      </c>
      <c r="B1" s="1" t="s">
        <v>1</v>
      </c>
      <c r="C1" s="1" t="s">
        <v>2</v>
      </c>
      <c r="D1" s="1" t="s">
        <v>3</v>
      </c>
      <c r="E1" s="1" t="s">
        <v>4</v>
      </c>
      <c r="F1" s="1" t="s">
        <v>5</v>
      </c>
      <c r="G1" s="1" t="s">
        <v>6</v>
      </c>
      <c r="H1" s="2" t="s">
        <v>239</v>
      </c>
      <c r="I1" s="1" t="s">
        <v>8</v>
      </c>
      <c r="J1" s="2" t="s">
        <v>240</v>
      </c>
      <c r="K1" s="1" t="s">
        <v>10</v>
      </c>
      <c r="L1" s="2" t="s">
        <v>241</v>
      </c>
      <c r="M1" s="1" t="s">
        <v>11</v>
      </c>
      <c r="N1" s="1" t="s">
        <v>12</v>
      </c>
      <c r="O1" s="2" t="s">
        <v>13</v>
      </c>
      <c r="P1" s="1" t="s">
        <v>14</v>
      </c>
      <c r="Q1" s="1" t="s">
        <v>15</v>
      </c>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row>
    <row r="2">
      <c r="A2" s="32">
        <v>40504.0</v>
      </c>
      <c r="B2" s="12" t="s">
        <v>16</v>
      </c>
      <c r="C2" s="12">
        <v>2010.0</v>
      </c>
      <c r="D2" s="33">
        <v>40513.0</v>
      </c>
      <c r="E2" s="12" t="s">
        <v>17</v>
      </c>
      <c r="F2" s="12" t="s">
        <v>18</v>
      </c>
      <c r="G2" s="12" t="s">
        <v>28</v>
      </c>
      <c r="I2" s="12" t="s">
        <v>20</v>
      </c>
      <c r="J2" s="12" t="s">
        <v>21</v>
      </c>
      <c r="K2" s="12" t="s">
        <v>242</v>
      </c>
      <c r="L2" s="12"/>
      <c r="M2" s="12">
        <v>38.911167</v>
      </c>
      <c r="N2" s="12">
        <v>46.28</v>
      </c>
      <c r="O2" s="12" t="s">
        <v>16</v>
      </c>
      <c r="P2" s="13" t="s">
        <v>243</v>
      </c>
    </row>
    <row r="3">
      <c r="A3" s="11">
        <v>40857.0</v>
      </c>
      <c r="B3" s="12" t="s">
        <v>16</v>
      </c>
      <c r="C3" s="12">
        <v>2011.0</v>
      </c>
      <c r="D3" s="33">
        <v>40878.0</v>
      </c>
      <c r="E3" s="12" t="s">
        <v>17</v>
      </c>
      <c r="F3" s="12" t="s">
        <v>18</v>
      </c>
      <c r="G3" s="12" t="s">
        <v>19</v>
      </c>
      <c r="I3" s="12" t="s">
        <v>20</v>
      </c>
      <c r="J3" s="12" t="s">
        <v>21</v>
      </c>
      <c r="K3" s="12" t="s">
        <v>244</v>
      </c>
      <c r="L3" s="12" t="s">
        <v>245</v>
      </c>
      <c r="M3" s="12">
        <v>38.911167</v>
      </c>
      <c r="N3" s="12">
        <v>48.43333</v>
      </c>
      <c r="O3" s="12" t="s">
        <v>16</v>
      </c>
      <c r="P3" s="13" t="s">
        <v>246</v>
      </c>
    </row>
    <row r="4">
      <c r="A4" s="11">
        <v>40857.0</v>
      </c>
      <c r="B4" s="12" t="s">
        <v>16</v>
      </c>
      <c r="C4" s="12">
        <v>2011.0</v>
      </c>
      <c r="D4" s="33">
        <v>40878.0</v>
      </c>
      <c r="E4" s="12" t="s">
        <v>247</v>
      </c>
      <c r="F4" s="12" t="s">
        <v>18</v>
      </c>
      <c r="G4" s="12" t="s">
        <v>19</v>
      </c>
      <c r="I4" s="12" t="s">
        <v>20</v>
      </c>
      <c r="J4" s="12" t="s">
        <v>21</v>
      </c>
      <c r="K4" s="12" t="s">
        <v>244</v>
      </c>
      <c r="L4" s="12" t="s">
        <v>248</v>
      </c>
      <c r="M4" s="12">
        <v>38.911167</v>
      </c>
      <c r="N4" s="12">
        <v>48.43333</v>
      </c>
      <c r="O4" s="12" t="s">
        <v>16</v>
      </c>
      <c r="P4" s="13" t="s">
        <v>246</v>
      </c>
    </row>
    <row r="5">
      <c r="A5" s="11">
        <v>40857.0</v>
      </c>
      <c r="B5" s="12" t="s">
        <v>16</v>
      </c>
      <c r="C5" s="12">
        <v>2011.0</v>
      </c>
      <c r="D5" s="33">
        <v>40878.0</v>
      </c>
      <c r="E5" s="12" t="s">
        <v>247</v>
      </c>
      <c r="F5" s="12" t="s">
        <v>141</v>
      </c>
      <c r="G5" s="12" t="s">
        <v>19</v>
      </c>
      <c r="I5" s="12" t="s">
        <v>20</v>
      </c>
      <c r="J5" s="12" t="s">
        <v>21</v>
      </c>
      <c r="K5" s="12" t="s">
        <v>38</v>
      </c>
      <c r="L5" s="12" t="s">
        <v>245</v>
      </c>
      <c r="M5" s="12">
        <v>42.0</v>
      </c>
      <c r="N5" s="12">
        <v>46.25</v>
      </c>
      <c r="O5" s="12" t="s">
        <v>16</v>
      </c>
      <c r="P5" s="13" t="s">
        <v>246</v>
      </c>
    </row>
    <row r="6">
      <c r="A6" s="11">
        <v>40885.0</v>
      </c>
      <c r="B6" s="12" t="s">
        <v>16</v>
      </c>
      <c r="C6" s="12">
        <v>2011.0</v>
      </c>
      <c r="D6" s="33">
        <v>40892.0</v>
      </c>
      <c r="E6" s="12" t="s">
        <v>17</v>
      </c>
      <c r="F6" s="12" t="s">
        <v>49</v>
      </c>
      <c r="G6" s="12" t="s">
        <v>28</v>
      </c>
      <c r="I6" s="12" t="s">
        <v>20</v>
      </c>
      <c r="J6" s="12" t="s">
        <v>21</v>
      </c>
      <c r="K6" s="12" t="s">
        <v>249</v>
      </c>
      <c r="L6" s="12" t="s">
        <v>245</v>
      </c>
      <c r="M6" s="12">
        <v>42.26</v>
      </c>
      <c r="N6" s="12">
        <v>46.25</v>
      </c>
      <c r="O6" s="12" t="s">
        <v>16</v>
      </c>
      <c r="P6" s="13" t="s">
        <v>250</v>
      </c>
    </row>
    <row r="7">
      <c r="A7" s="11">
        <v>40920.0</v>
      </c>
      <c r="B7" s="12" t="s">
        <v>16</v>
      </c>
      <c r="C7" s="12">
        <v>2012.0</v>
      </c>
      <c r="D7" s="33">
        <v>40923.0</v>
      </c>
      <c r="E7" s="12" t="s">
        <v>17</v>
      </c>
      <c r="F7" s="12" t="s">
        <v>49</v>
      </c>
      <c r="G7" s="12" t="s">
        <v>28</v>
      </c>
      <c r="I7" s="12" t="s">
        <v>20</v>
      </c>
      <c r="J7" s="12" t="s">
        <v>21</v>
      </c>
      <c r="K7" s="12" t="s">
        <v>251</v>
      </c>
      <c r="L7" s="12" t="s">
        <v>245</v>
      </c>
      <c r="M7" s="12">
        <v>42.0</v>
      </c>
      <c r="N7" s="12">
        <v>42.26</v>
      </c>
      <c r="O7" s="12" t="s">
        <v>16</v>
      </c>
      <c r="P7" s="13" t="s">
        <v>252</v>
      </c>
    </row>
    <row r="8">
      <c r="A8" s="11">
        <v>41227.0</v>
      </c>
      <c r="B8" s="12" t="s">
        <v>16</v>
      </c>
      <c r="C8" s="12">
        <v>2012.0</v>
      </c>
      <c r="D8" s="33">
        <v>41244.0</v>
      </c>
      <c r="E8" s="12" t="s">
        <v>17</v>
      </c>
      <c r="F8" s="12" t="s">
        <v>18</v>
      </c>
      <c r="G8" s="12" t="s">
        <v>19</v>
      </c>
      <c r="I8" s="12" t="s">
        <v>20</v>
      </c>
      <c r="J8" s="12" t="s">
        <v>21</v>
      </c>
      <c r="K8" s="12" t="s">
        <v>244</v>
      </c>
      <c r="L8" s="12" t="s">
        <v>245</v>
      </c>
      <c r="M8" s="12">
        <v>38.911167</v>
      </c>
      <c r="N8" s="12">
        <v>48.43333</v>
      </c>
      <c r="O8" s="12" t="s">
        <v>16</v>
      </c>
      <c r="P8" s="13" t="s">
        <v>253</v>
      </c>
    </row>
    <row r="9">
      <c r="A9" s="11">
        <v>41253.0</v>
      </c>
      <c r="B9" s="12" t="s">
        <v>16</v>
      </c>
      <c r="C9" s="12">
        <v>2012.0</v>
      </c>
      <c r="D9" s="33">
        <v>41274.0</v>
      </c>
      <c r="E9" s="12" t="s">
        <v>17</v>
      </c>
      <c r="F9" s="12" t="s">
        <v>18</v>
      </c>
      <c r="G9" s="12" t="s">
        <v>28</v>
      </c>
      <c r="I9" s="12" t="s">
        <v>20</v>
      </c>
      <c r="J9" s="12" t="s">
        <v>21</v>
      </c>
      <c r="K9" s="12" t="s">
        <v>38</v>
      </c>
      <c r="L9" s="12" t="s">
        <v>245</v>
      </c>
      <c r="M9" s="12">
        <v>42.0</v>
      </c>
      <c r="N9" s="12">
        <v>46.25</v>
      </c>
      <c r="O9" s="12" t="s">
        <v>16</v>
      </c>
      <c r="P9" s="13" t="s">
        <v>254</v>
      </c>
    </row>
    <row r="10">
      <c r="A10" s="11">
        <v>41600.0</v>
      </c>
      <c r="B10" s="12" t="s">
        <v>16</v>
      </c>
      <c r="C10" s="12">
        <v>2013.0</v>
      </c>
      <c r="D10" s="33">
        <v>41609.0</v>
      </c>
      <c r="E10" s="12" t="s">
        <v>17</v>
      </c>
      <c r="F10" s="12" t="s">
        <v>18</v>
      </c>
      <c r="G10" s="12" t="s">
        <v>19</v>
      </c>
      <c r="I10" s="12" t="s">
        <v>20</v>
      </c>
      <c r="J10" s="12" t="s">
        <v>21</v>
      </c>
      <c r="K10" s="12" t="s">
        <v>255</v>
      </c>
      <c r="L10" s="12" t="s">
        <v>245</v>
      </c>
      <c r="M10" s="12">
        <v>42.0</v>
      </c>
      <c r="N10" s="12">
        <v>46.28</v>
      </c>
      <c r="O10" s="12" t="s">
        <v>16</v>
      </c>
      <c r="P10" s="13" t="s">
        <v>256</v>
      </c>
    </row>
    <row r="11">
      <c r="A11" s="11">
        <v>41613.0</v>
      </c>
      <c r="B11" s="12" t="s">
        <v>16</v>
      </c>
      <c r="C11" s="12">
        <v>2013.0</v>
      </c>
      <c r="D11" s="33">
        <v>41624.0</v>
      </c>
      <c r="E11" s="12" t="s">
        <v>17</v>
      </c>
      <c r="F11" s="12" t="s">
        <v>18</v>
      </c>
      <c r="G11" s="12" t="s">
        <v>28</v>
      </c>
      <c r="I11" s="12" t="s">
        <v>20</v>
      </c>
      <c r="J11" s="12" t="s">
        <v>21</v>
      </c>
      <c r="K11" s="12" t="s">
        <v>255</v>
      </c>
      <c r="L11" s="12" t="s">
        <v>245</v>
      </c>
      <c r="M11" s="12">
        <v>42.0</v>
      </c>
      <c r="N11" s="12">
        <v>46.28</v>
      </c>
      <c r="O11" s="12" t="s">
        <v>16</v>
      </c>
      <c r="P11" s="13" t="s">
        <v>257</v>
      </c>
    </row>
    <row r="12">
      <c r="A12" s="11">
        <v>41613.0</v>
      </c>
      <c r="B12" s="12" t="s">
        <v>16</v>
      </c>
      <c r="C12" s="12">
        <v>2013.0</v>
      </c>
      <c r="D12" s="33">
        <v>41609.0</v>
      </c>
      <c r="E12" s="12" t="s">
        <v>17</v>
      </c>
      <c r="F12" s="12" t="s">
        <v>141</v>
      </c>
      <c r="G12" s="12" t="s">
        <v>28</v>
      </c>
      <c r="I12" s="12" t="s">
        <v>20</v>
      </c>
      <c r="J12" s="12" t="s">
        <v>21</v>
      </c>
      <c r="K12" s="12" t="s">
        <v>38</v>
      </c>
      <c r="L12" s="12" t="s">
        <v>245</v>
      </c>
      <c r="M12" s="12">
        <v>42.0</v>
      </c>
      <c r="N12" s="12">
        <v>46.25</v>
      </c>
      <c r="O12" s="12" t="s">
        <v>16</v>
      </c>
      <c r="P12" s="13" t="s">
        <v>257</v>
      </c>
    </row>
    <row r="13">
      <c r="A13" s="11">
        <v>42328.0</v>
      </c>
      <c r="B13" s="12" t="s">
        <v>16</v>
      </c>
      <c r="C13" s="12">
        <v>2015.0</v>
      </c>
      <c r="D13" s="33">
        <v>42339.0</v>
      </c>
      <c r="E13" s="12" t="s">
        <v>17</v>
      </c>
      <c r="F13" s="12" t="s">
        <v>18</v>
      </c>
      <c r="G13" s="12" t="s">
        <v>19</v>
      </c>
      <c r="I13" s="12" t="s">
        <v>130</v>
      </c>
      <c r="J13" s="12" t="s">
        <v>21</v>
      </c>
      <c r="K13" s="12" t="s">
        <v>38</v>
      </c>
      <c r="L13" s="12" t="s">
        <v>245</v>
      </c>
      <c r="M13" s="12">
        <v>42.0</v>
      </c>
      <c r="N13" s="12">
        <v>46.25</v>
      </c>
      <c r="O13" s="12" t="s">
        <v>16</v>
      </c>
      <c r="P13" s="13" t="s">
        <v>258</v>
      </c>
    </row>
    <row r="14">
      <c r="A14" s="11">
        <v>42328.0</v>
      </c>
      <c r="B14" s="12" t="s">
        <v>16</v>
      </c>
      <c r="C14" s="12">
        <v>2015.0</v>
      </c>
      <c r="D14" s="33">
        <v>42328.0</v>
      </c>
      <c r="E14" s="12" t="s">
        <v>17</v>
      </c>
      <c r="F14" s="12" t="s">
        <v>141</v>
      </c>
      <c r="G14" s="12" t="s">
        <v>19</v>
      </c>
      <c r="I14" s="12" t="s">
        <v>130</v>
      </c>
      <c r="J14" s="12" t="s">
        <v>21</v>
      </c>
      <c r="K14" s="12" t="s">
        <v>259</v>
      </c>
      <c r="L14" s="12" t="s">
        <v>248</v>
      </c>
      <c r="M14" s="12">
        <v>42.0</v>
      </c>
      <c r="N14" s="12">
        <v>44.1387313</v>
      </c>
      <c r="O14" s="12" t="s">
        <v>16</v>
      </c>
      <c r="P14" s="13" t="s">
        <v>258</v>
      </c>
    </row>
    <row r="15">
      <c r="A15" s="11">
        <v>42328.0</v>
      </c>
      <c r="B15" s="12" t="s">
        <v>16</v>
      </c>
      <c r="C15" s="12">
        <v>2015.0</v>
      </c>
      <c r="D15" s="33">
        <v>42339.0</v>
      </c>
      <c r="E15" s="12" t="s">
        <v>17</v>
      </c>
      <c r="F15" s="12" t="s">
        <v>141</v>
      </c>
      <c r="G15" s="12" t="s">
        <v>19</v>
      </c>
      <c r="I15" s="12" t="s">
        <v>130</v>
      </c>
      <c r="J15" s="12" t="s">
        <v>21</v>
      </c>
      <c r="K15" s="12" t="s">
        <v>260</v>
      </c>
      <c r="L15" s="12" t="s">
        <v>245</v>
      </c>
      <c r="M15" s="12">
        <v>44.1387313</v>
      </c>
      <c r="N15" s="12">
        <v>46.25</v>
      </c>
      <c r="O15" s="12" t="s">
        <v>16</v>
      </c>
      <c r="P15" s="13" t="s">
        <v>258</v>
      </c>
    </row>
    <row r="16">
      <c r="A16" s="34">
        <v>42359.0</v>
      </c>
      <c r="B16" s="12" t="s">
        <v>16</v>
      </c>
      <c r="C16" s="12">
        <v>2016.0</v>
      </c>
      <c r="D16" s="33">
        <v>42373.0</v>
      </c>
      <c r="E16" s="12" t="s">
        <v>17</v>
      </c>
      <c r="F16" s="12" t="s">
        <v>18</v>
      </c>
      <c r="G16" s="12" t="s">
        <v>28</v>
      </c>
      <c r="I16" s="12" t="s">
        <v>130</v>
      </c>
      <c r="J16" s="12" t="s">
        <v>21</v>
      </c>
      <c r="K16" s="12" t="s">
        <v>38</v>
      </c>
      <c r="L16" s="12" t="s">
        <v>245</v>
      </c>
      <c r="M16" s="12">
        <v>42.0</v>
      </c>
      <c r="N16" s="12">
        <v>46.25</v>
      </c>
      <c r="O16" s="12" t="s">
        <v>16</v>
      </c>
      <c r="P16" s="13" t="s">
        <v>261</v>
      </c>
    </row>
    <row r="17">
      <c r="A17" s="34">
        <v>42359.0</v>
      </c>
      <c r="B17" s="12" t="s">
        <v>16</v>
      </c>
      <c r="C17" s="12">
        <v>2016.0</v>
      </c>
      <c r="D17" s="33">
        <v>42359.0</v>
      </c>
      <c r="E17" s="12" t="s">
        <v>17</v>
      </c>
      <c r="F17" s="12" t="s">
        <v>141</v>
      </c>
      <c r="G17" s="12" t="s">
        <v>28</v>
      </c>
      <c r="I17" s="12" t="s">
        <v>130</v>
      </c>
      <c r="J17" s="12" t="s">
        <v>21</v>
      </c>
      <c r="K17" s="12" t="s">
        <v>38</v>
      </c>
      <c r="L17" s="12" t="s">
        <v>262</v>
      </c>
      <c r="M17" s="12">
        <v>42.0</v>
      </c>
      <c r="N17" s="12">
        <v>46.25</v>
      </c>
      <c r="O17" s="12" t="s">
        <v>16</v>
      </c>
      <c r="P17" s="13" t="s">
        <v>261</v>
      </c>
    </row>
    <row r="18">
      <c r="A18" s="11">
        <v>42692.0</v>
      </c>
      <c r="B18" s="12" t="s">
        <v>16</v>
      </c>
      <c r="C18" s="12">
        <v>2016.0</v>
      </c>
      <c r="D18" s="33">
        <v>42692.0</v>
      </c>
      <c r="E18" s="12" t="s">
        <v>247</v>
      </c>
      <c r="F18" s="12" t="s">
        <v>49</v>
      </c>
      <c r="G18" s="12" t="s">
        <v>19</v>
      </c>
      <c r="I18" s="12" t="s">
        <v>130</v>
      </c>
      <c r="J18" s="12" t="s">
        <v>21</v>
      </c>
      <c r="K18" s="12" t="s">
        <v>263</v>
      </c>
      <c r="L18" s="12" t="s">
        <v>262</v>
      </c>
      <c r="M18" s="12">
        <v>42.0</v>
      </c>
      <c r="N18" s="5">
        <v>45.9414945</v>
      </c>
      <c r="O18" s="12" t="s">
        <v>16</v>
      </c>
      <c r="P18" s="13" t="s">
        <v>264</v>
      </c>
    </row>
    <row r="19">
      <c r="A19" s="11">
        <v>42696.0</v>
      </c>
      <c r="B19" s="12" t="s">
        <v>16</v>
      </c>
      <c r="C19" s="12">
        <v>2016.0</v>
      </c>
      <c r="D19" s="33">
        <v>42705.0</v>
      </c>
      <c r="E19" s="12" t="s">
        <v>17</v>
      </c>
      <c r="F19" s="12" t="s">
        <v>18</v>
      </c>
      <c r="G19" s="12" t="s">
        <v>19</v>
      </c>
      <c r="I19" s="12" t="s">
        <v>130</v>
      </c>
      <c r="J19" s="12" t="s">
        <v>21</v>
      </c>
      <c r="K19" s="12" t="s">
        <v>38</v>
      </c>
      <c r="L19" s="12" t="s">
        <v>262</v>
      </c>
      <c r="M19" s="12">
        <v>42.0</v>
      </c>
      <c r="N19" s="12">
        <v>46.25</v>
      </c>
      <c r="O19" s="12" t="s">
        <v>16</v>
      </c>
      <c r="P19" s="30" t="s">
        <v>265</v>
      </c>
      <c r="Q19" s="12" t="s">
        <v>266</v>
      </c>
    </row>
    <row r="20">
      <c r="A20" s="11">
        <v>42706.0</v>
      </c>
      <c r="B20" s="12" t="s">
        <v>16</v>
      </c>
      <c r="C20" s="12">
        <v>2016.0</v>
      </c>
      <c r="D20" s="33">
        <v>42706.0</v>
      </c>
      <c r="E20" s="12" t="s">
        <v>247</v>
      </c>
      <c r="F20" s="12" t="s">
        <v>141</v>
      </c>
      <c r="G20" s="12" t="s">
        <v>28</v>
      </c>
      <c r="I20" s="12" t="s">
        <v>130</v>
      </c>
      <c r="J20" s="12" t="s">
        <v>21</v>
      </c>
      <c r="K20" s="12" t="s">
        <v>267</v>
      </c>
      <c r="L20" s="12" t="s">
        <v>262</v>
      </c>
      <c r="M20" s="5">
        <v>45.9414945</v>
      </c>
      <c r="N20" s="12">
        <v>46.25</v>
      </c>
      <c r="O20" s="12" t="s">
        <v>16</v>
      </c>
      <c r="P20" s="13" t="s">
        <v>268</v>
      </c>
    </row>
    <row r="21">
      <c r="A21" s="11">
        <v>42706.0</v>
      </c>
      <c r="B21" s="12" t="s">
        <v>16</v>
      </c>
      <c r="C21" s="12">
        <v>2016.0</v>
      </c>
      <c r="D21" s="33">
        <v>42705.0</v>
      </c>
      <c r="E21" s="12" t="s">
        <v>247</v>
      </c>
      <c r="F21" s="12" t="s">
        <v>141</v>
      </c>
      <c r="G21" s="12" t="s">
        <v>19</v>
      </c>
      <c r="I21" s="12" t="s">
        <v>130</v>
      </c>
      <c r="J21" s="12" t="s">
        <v>21</v>
      </c>
      <c r="K21" s="12" t="s">
        <v>269</v>
      </c>
      <c r="L21" s="12" t="s">
        <v>262</v>
      </c>
      <c r="M21" s="12">
        <v>44.4</v>
      </c>
      <c r="N21" s="5">
        <v>45.9414945</v>
      </c>
      <c r="O21" s="12" t="s">
        <v>16</v>
      </c>
      <c r="P21" s="13" t="s">
        <v>268</v>
      </c>
      <c r="Q21" s="12" t="s">
        <v>270</v>
      </c>
    </row>
    <row r="22">
      <c r="A22" s="11">
        <v>42706.0</v>
      </c>
      <c r="B22" s="12" t="s">
        <v>16</v>
      </c>
      <c r="C22" s="12">
        <v>2016.0</v>
      </c>
      <c r="D22" s="33">
        <v>42706.0</v>
      </c>
      <c r="E22" s="12" t="s">
        <v>247</v>
      </c>
      <c r="F22" s="12" t="s">
        <v>141</v>
      </c>
      <c r="G22" s="12" t="s">
        <v>28</v>
      </c>
      <c r="I22" s="12" t="s">
        <v>130</v>
      </c>
      <c r="J22" s="12" t="s">
        <v>21</v>
      </c>
      <c r="K22" s="12" t="s">
        <v>271</v>
      </c>
      <c r="L22" s="12" t="s">
        <v>262</v>
      </c>
      <c r="M22" s="12">
        <v>42.0</v>
      </c>
      <c r="N22" s="12">
        <v>44.4</v>
      </c>
      <c r="O22" s="12" t="s">
        <v>16</v>
      </c>
      <c r="P22" s="13" t="s">
        <v>268</v>
      </c>
      <c r="Q22" s="12" t="s">
        <v>270</v>
      </c>
    </row>
    <row r="23">
      <c r="A23" s="11">
        <v>42713.0</v>
      </c>
      <c r="B23" s="12" t="s">
        <v>16</v>
      </c>
      <c r="C23" s="12">
        <v>2016.0</v>
      </c>
      <c r="D23" s="33">
        <v>42722.0</v>
      </c>
      <c r="E23" s="12" t="s">
        <v>247</v>
      </c>
      <c r="F23" s="12" t="s">
        <v>18</v>
      </c>
      <c r="G23" s="12" t="s">
        <v>28</v>
      </c>
      <c r="I23" s="12" t="s">
        <v>130</v>
      </c>
      <c r="J23" s="12" t="s">
        <v>21</v>
      </c>
      <c r="K23" s="12" t="s">
        <v>148</v>
      </c>
      <c r="L23" s="12"/>
      <c r="M23" s="12">
        <v>42.0</v>
      </c>
      <c r="N23" s="12">
        <v>42.837608</v>
      </c>
      <c r="O23" s="12" t="s">
        <v>16</v>
      </c>
      <c r="P23" s="13" t="s">
        <v>272</v>
      </c>
    </row>
    <row r="24">
      <c r="A24" s="11">
        <v>42713.0</v>
      </c>
      <c r="B24" s="12" t="s">
        <v>16</v>
      </c>
      <c r="C24" s="12">
        <v>2016.0</v>
      </c>
      <c r="D24" s="33">
        <v>42714.0</v>
      </c>
      <c r="E24" s="12" t="s">
        <v>247</v>
      </c>
      <c r="F24" s="12" t="s">
        <v>141</v>
      </c>
      <c r="G24" s="12" t="s">
        <v>28</v>
      </c>
      <c r="I24" s="12" t="s">
        <v>130</v>
      </c>
      <c r="J24" s="12" t="s">
        <v>21</v>
      </c>
      <c r="K24" s="12" t="s">
        <v>273</v>
      </c>
      <c r="L24" s="12" t="s">
        <v>262</v>
      </c>
      <c r="M24" s="12">
        <v>45.6382341</v>
      </c>
      <c r="N24" s="5">
        <v>45.9414945</v>
      </c>
      <c r="O24" s="12" t="s">
        <v>16</v>
      </c>
      <c r="P24" s="13" t="s">
        <v>272</v>
      </c>
    </row>
    <row r="25">
      <c r="A25" s="11">
        <v>42720.0</v>
      </c>
      <c r="B25" s="12" t="s">
        <v>16</v>
      </c>
      <c r="C25" s="12">
        <v>2016.0</v>
      </c>
      <c r="D25" s="33">
        <v>42720.0</v>
      </c>
      <c r="E25" s="12" t="s">
        <v>247</v>
      </c>
      <c r="F25" s="12" t="s">
        <v>141</v>
      </c>
      <c r="G25" s="12" t="s">
        <v>28</v>
      </c>
      <c r="I25" s="12" t="s">
        <v>130</v>
      </c>
      <c r="J25" s="12" t="s">
        <v>21</v>
      </c>
      <c r="K25" s="12" t="s">
        <v>274</v>
      </c>
      <c r="L25" s="12" t="s">
        <v>262</v>
      </c>
      <c r="M25" s="12">
        <v>42.837608</v>
      </c>
      <c r="N25" s="12">
        <v>43.67242</v>
      </c>
      <c r="O25" s="12" t="s">
        <v>16</v>
      </c>
      <c r="P25" s="13" t="s">
        <v>275</v>
      </c>
      <c r="Q25" s="35" t="s">
        <v>276</v>
      </c>
    </row>
    <row r="26">
      <c r="A26" s="11">
        <v>42724.0</v>
      </c>
      <c r="B26" s="12" t="s">
        <v>16</v>
      </c>
      <c r="C26" s="12">
        <v>2016.0</v>
      </c>
      <c r="D26" s="33">
        <v>42724.0</v>
      </c>
      <c r="E26" s="12" t="s">
        <v>247</v>
      </c>
      <c r="F26" s="12" t="s">
        <v>141</v>
      </c>
      <c r="G26" s="12" t="s">
        <v>28</v>
      </c>
      <c r="I26" s="12" t="s">
        <v>130</v>
      </c>
      <c r="J26" s="12" t="s">
        <v>21</v>
      </c>
      <c r="K26" s="12" t="s">
        <v>38</v>
      </c>
      <c r="L26" s="12" t="s">
        <v>277</v>
      </c>
      <c r="M26" s="12">
        <v>42.0</v>
      </c>
      <c r="N26" s="12">
        <v>46.25</v>
      </c>
      <c r="O26" s="12" t="s">
        <v>16</v>
      </c>
      <c r="P26" s="13" t="s">
        <v>278</v>
      </c>
    </row>
    <row r="27">
      <c r="A27" s="11">
        <v>42725.0</v>
      </c>
      <c r="B27" s="12" t="s">
        <v>16</v>
      </c>
      <c r="C27" s="12">
        <v>2016.0</v>
      </c>
      <c r="D27" s="33">
        <v>42736.0</v>
      </c>
      <c r="E27" s="12" t="s">
        <v>17</v>
      </c>
      <c r="F27" s="12" t="s">
        <v>18</v>
      </c>
      <c r="G27" s="12" t="s">
        <v>28</v>
      </c>
      <c r="I27" s="12" t="s">
        <v>130</v>
      </c>
      <c r="J27" s="12" t="s">
        <v>21</v>
      </c>
      <c r="K27" s="12" t="s">
        <v>150</v>
      </c>
      <c r="M27" s="12">
        <v>42.837608</v>
      </c>
      <c r="N27" s="12">
        <v>46.25</v>
      </c>
      <c r="O27" s="12" t="s">
        <v>16</v>
      </c>
      <c r="P27" s="13" t="s">
        <v>279</v>
      </c>
    </row>
    <row r="28">
      <c r="A28" s="11">
        <v>42767.0</v>
      </c>
      <c r="B28" s="12" t="s">
        <v>16</v>
      </c>
      <c r="C28" s="12">
        <v>2017.0</v>
      </c>
      <c r="D28" s="33">
        <v>42767.0</v>
      </c>
      <c r="E28" s="12" t="s">
        <v>247</v>
      </c>
      <c r="F28" s="12" t="s">
        <v>141</v>
      </c>
      <c r="G28" s="12" t="s">
        <v>19</v>
      </c>
      <c r="I28" s="12" t="s">
        <v>130</v>
      </c>
      <c r="J28" s="12" t="s">
        <v>21</v>
      </c>
      <c r="K28" s="12" t="s">
        <v>280</v>
      </c>
      <c r="M28" s="12">
        <v>43.75123</v>
      </c>
      <c r="N28" s="12">
        <v>44.1387313</v>
      </c>
      <c r="O28" s="12" t="s">
        <v>16</v>
      </c>
      <c r="P28" s="13" t="s">
        <v>281</v>
      </c>
      <c r="Q28" s="12" t="s">
        <v>282</v>
      </c>
    </row>
    <row r="29">
      <c r="A29" s="11">
        <v>42768.0</v>
      </c>
      <c r="B29" s="12" t="s">
        <v>16</v>
      </c>
      <c r="C29" s="12">
        <v>2017.0</v>
      </c>
      <c r="D29" s="33">
        <v>42768.0</v>
      </c>
      <c r="E29" s="12" t="s">
        <v>247</v>
      </c>
      <c r="F29" s="12" t="s">
        <v>18</v>
      </c>
      <c r="G29" s="12" t="s">
        <v>19</v>
      </c>
      <c r="I29" s="12" t="s">
        <v>130</v>
      </c>
      <c r="J29" s="12" t="s">
        <v>162</v>
      </c>
      <c r="K29" s="12" t="s">
        <v>280</v>
      </c>
      <c r="M29" s="12">
        <v>43.75123</v>
      </c>
      <c r="N29" s="12">
        <v>44.1387313</v>
      </c>
      <c r="O29" s="12" t="s">
        <v>16</v>
      </c>
      <c r="P29" s="35" t="s">
        <v>283</v>
      </c>
      <c r="Q29" s="12" t="s">
        <v>284</v>
      </c>
    </row>
    <row r="30">
      <c r="A30" s="11">
        <v>42776.0</v>
      </c>
      <c r="B30" s="12" t="s">
        <v>16</v>
      </c>
      <c r="C30" s="12">
        <v>2017.0</v>
      </c>
      <c r="D30" s="33">
        <v>42776.0</v>
      </c>
      <c r="E30" s="12" t="s">
        <v>247</v>
      </c>
      <c r="F30" s="12" t="s">
        <v>49</v>
      </c>
      <c r="G30" s="12" t="s">
        <v>28</v>
      </c>
      <c r="I30" s="12" t="s">
        <v>130</v>
      </c>
      <c r="J30" s="12" t="s">
        <v>162</v>
      </c>
      <c r="K30" s="12" t="s">
        <v>280</v>
      </c>
      <c r="M30" s="12">
        <v>43.75123</v>
      </c>
      <c r="N30" s="12">
        <v>44.1387313</v>
      </c>
      <c r="O30" s="12" t="s">
        <v>16</v>
      </c>
      <c r="P30" s="13" t="s">
        <v>285</v>
      </c>
      <c r="Q30" s="12" t="s">
        <v>284</v>
      </c>
    </row>
    <row r="31">
      <c r="A31" s="11">
        <v>43031.0</v>
      </c>
      <c r="B31" s="12" t="s">
        <v>16</v>
      </c>
      <c r="C31" s="12">
        <v>2017.0</v>
      </c>
      <c r="D31" s="33">
        <v>43031.0</v>
      </c>
      <c r="E31" s="12" t="s">
        <v>247</v>
      </c>
      <c r="F31" s="12" t="s">
        <v>49</v>
      </c>
      <c r="G31" s="12" t="s">
        <v>19</v>
      </c>
      <c r="I31" s="12" t="s">
        <v>130</v>
      </c>
      <c r="J31" s="12" t="s">
        <v>21</v>
      </c>
      <c r="K31" s="12" t="s">
        <v>286</v>
      </c>
      <c r="L31" s="12" t="s">
        <v>248</v>
      </c>
      <c r="M31" s="12">
        <v>42.0</v>
      </c>
      <c r="N31" s="12">
        <v>43.1116505</v>
      </c>
      <c r="O31" s="12" t="s">
        <v>16</v>
      </c>
      <c r="P31" s="13" t="s">
        <v>287</v>
      </c>
    </row>
    <row r="32">
      <c r="A32" s="11">
        <v>43054.0</v>
      </c>
      <c r="B32" s="12" t="s">
        <v>16</v>
      </c>
      <c r="C32" s="12">
        <v>2017.0</v>
      </c>
      <c r="D32" s="33">
        <v>43054.0</v>
      </c>
      <c r="E32" s="12" t="s">
        <v>247</v>
      </c>
      <c r="F32" s="12" t="s">
        <v>49</v>
      </c>
      <c r="G32" s="12" t="s">
        <v>19</v>
      </c>
      <c r="I32" s="12" t="s">
        <v>130</v>
      </c>
      <c r="J32" s="12" t="s">
        <v>21</v>
      </c>
      <c r="K32" s="12" t="s">
        <v>288</v>
      </c>
      <c r="L32" s="12" t="s">
        <v>248</v>
      </c>
      <c r="M32" s="12">
        <v>43.799571</v>
      </c>
      <c r="N32" s="12">
        <v>44.7723357</v>
      </c>
      <c r="O32" s="12" t="s">
        <v>16</v>
      </c>
      <c r="P32" s="13" t="s">
        <v>289</v>
      </c>
    </row>
    <row r="33">
      <c r="A33" s="11">
        <v>43055.0</v>
      </c>
      <c r="B33" s="12" t="s">
        <v>16</v>
      </c>
      <c r="C33" s="12">
        <v>2017.0</v>
      </c>
      <c r="D33" s="33">
        <v>43070.0</v>
      </c>
      <c r="E33" s="12" t="s">
        <v>17</v>
      </c>
      <c r="F33" s="12" t="s">
        <v>18</v>
      </c>
      <c r="G33" s="12" t="s">
        <v>19</v>
      </c>
      <c r="I33" s="12" t="s">
        <v>20</v>
      </c>
      <c r="J33" s="12" t="s">
        <v>21</v>
      </c>
      <c r="K33" s="12" t="s">
        <v>38</v>
      </c>
      <c r="L33" s="12" t="s">
        <v>245</v>
      </c>
      <c r="M33" s="12">
        <v>42.0</v>
      </c>
      <c r="N33" s="12">
        <v>46.25</v>
      </c>
      <c r="O33" s="12" t="s">
        <v>16</v>
      </c>
      <c r="P33" s="13" t="s">
        <v>290</v>
      </c>
    </row>
    <row r="34">
      <c r="A34" s="11">
        <v>43055.0</v>
      </c>
      <c r="B34" s="12" t="s">
        <v>16</v>
      </c>
      <c r="C34" s="12">
        <v>2017.0</v>
      </c>
      <c r="D34" s="33">
        <v>43070.0</v>
      </c>
      <c r="E34" s="12" t="s">
        <v>17</v>
      </c>
      <c r="F34" s="12" t="s">
        <v>18</v>
      </c>
      <c r="G34" s="12" t="s">
        <v>19</v>
      </c>
      <c r="I34" s="12" t="s">
        <v>291</v>
      </c>
      <c r="J34" s="12" t="s">
        <v>21</v>
      </c>
      <c r="K34" s="12" t="s">
        <v>38</v>
      </c>
      <c r="L34" s="12" t="s">
        <v>248</v>
      </c>
      <c r="M34" s="12">
        <v>42.0</v>
      </c>
      <c r="N34" s="12">
        <v>46.25</v>
      </c>
      <c r="O34" s="12" t="s">
        <v>16</v>
      </c>
      <c r="P34" s="13" t="s">
        <v>290</v>
      </c>
      <c r="Q34" s="12" t="s">
        <v>292</v>
      </c>
    </row>
    <row r="35">
      <c r="A35" s="11">
        <v>43061.0</v>
      </c>
      <c r="B35" s="12" t="s">
        <v>16</v>
      </c>
      <c r="C35" s="12">
        <v>2017.0</v>
      </c>
      <c r="D35" s="33">
        <v>43061.0</v>
      </c>
      <c r="E35" s="12" t="s">
        <v>247</v>
      </c>
      <c r="F35" s="12" t="s">
        <v>49</v>
      </c>
      <c r="G35" s="12" t="s">
        <v>28</v>
      </c>
      <c r="I35" s="12" t="s">
        <v>130</v>
      </c>
      <c r="J35" s="12" t="s">
        <v>21</v>
      </c>
      <c r="K35" s="12" t="s">
        <v>293</v>
      </c>
      <c r="L35" s="12" t="s">
        <v>248</v>
      </c>
      <c r="M35" s="12">
        <v>43.1116505</v>
      </c>
      <c r="N35" s="12">
        <v>43.359355</v>
      </c>
      <c r="O35" s="12" t="s">
        <v>16</v>
      </c>
      <c r="P35" s="30" t="s">
        <v>294</v>
      </c>
    </row>
    <row r="36">
      <c r="A36" s="11">
        <v>43074.0</v>
      </c>
      <c r="B36" s="12" t="s">
        <v>16</v>
      </c>
      <c r="C36" s="12">
        <v>2017.0</v>
      </c>
      <c r="D36" s="33">
        <v>43074.0</v>
      </c>
      <c r="E36" s="12" t="s">
        <v>247</v>
      </c>
      <c r="F36" s="12" t="s">
        <v>141</v>
      </c>
      <c r="G36" s="12" t="s">
        <v>28</v>
      </c>
      <c r="I36" s="12" t="s">
        <v>130</v>
      </c>
      <c r="J36" s="12" t="s">
        <v>21</v>
      </c>
      <c r="K36" s="12" t="s">
        <v>295</v>
      </c>
      <c r="L36" s="12" t="s">
        <v>248</v>
      </c>
      <c r="M36" s="12">
        <v>43.124812</v>
      </c>
      <c r="N36" s="12">
        <v>46.25</v>
      </c>
      <c r="O36" s="12" t="s">
        <v>16</v>
      </c>
      <c r="P36" s="13" t="s">
        <v>296</v>
      </c>
    </row>
    <row r="37">
      <c r="A37" s="11">
        <v>43055.0</v>
      </c>
      <c r="B37" s="12" t="s">
        <v>16</v>
      </c>
      <c r="C37" s="12">
        <v>2017.0</v>
      </c>
      <c r="D37" s="33">
        <v>43070.0</v>
      </c>
      <c r="E37" s="12" t="s">
        <v>17</v>
      </c>
      <c r="F37" s="12" t="s">
        <v>18</v>
      </c>
      <c r="G37" s="12" t="s">
        <v>19</v>
      </c>
      <c r="I37" s="12" t="s">
        <v>201</v>
      </c>
      <c r="J37" s="12" t="s">
        <v>21</v>
      </c>
      <c r="K37" s="12" t="s">
        <v>148</v>
      </c>
      <c r="M37" s="12">
        <v>42.0</v>
      </c>
      <c r="N37" s="12">
        <v>42.837608</v>
      </c>
      <c r="O37" s="12" t="s">
        <v>16</v>
      </c>
      <c r="P37" s="13" t="s">
        <v>290</v>
      </c>
    </row>
    <row r="38">
      <c r="A38" s="11">
        <v>43090.0</v>
      </c>
      <c r="B38" s="12" t="s">
        <v>16</v>
      </c>
      <c r="C38" s="12">
        <v>2018.0</v>
      </c>
      <c r="D38" s="33">
        <v>43115.0</v>
      </c>
      <c r="E38" s="12" t="s">
        <v>17</v>
      </c>
      <c r="F38" s="12" t="s">
        <v>18</v>
      </c>
      <c r="G38" s="12" t="s">
        <v>28</v>
      </c>
      <c r="I38" s="12" t="s">
        <v>20</v>
      </c>
      <c r="J38" s="12" t="s">
        <v>21</v>
      </c>
      <c r="K38" s="12" t="s">
        <v>150</v>
      </c>
      <c r="M38" s="12">
        <v>42.837608</v>
      </c>
      <c r="N38" s="12">
        <v>46.25</v>
      </c>
      <c r="O38" s="12" t="s">
        <v>16</v>
      </c>
      <c r="P38" s="13" t="s">
        <v>297</v>
      </c>
    </row>
    <row r="39">
      <c r="A39" s="11">
        <v>43132.0</v>
      </c>
      <c r="B39" s="12" t="s">
        <v>16</v>
      </c>
      <c r="C39" s="12">
        <v>2018.0</v>
      </c>
      <c r="D39" s="33">
        <v>43138.0</v>
      </c>
      <c r="E39" s="12" t="s">
        <v>17</v>
      </c>
      <c r="F39" s="12" t="s">
        <v>18</v>
      </c>
      <c r="G39" s="12" t="s">
        <v>28</v>
      </c>
      <c r="I39" s="12" t="s">
        <v>130</v>
      </c>
      <c r="J39" s="12" t="s">
        <v>21</v>
      </c>
      <c r="K39" s="12" t="s">
        <v>148</v>
      </c>
      <c r="M39" s="12">
        <v>42.0</v>
      </c>
      <c r="N39" s="12">
        <v>42.837608</v>
      </c>
      <c r="O39" s="12" t="s">
        <v>16</v>
      </c>
      <c r="P39" s="13" t="s">
        <v>298</v>
      </c>
    </row>
    <row r="40">
      <c r="A40" s="11">
        <v>43147.0</v>
      </c>
      <c r="B40" s="12" t="s">
        <v>16</v>
      </c>
      <c r="C40" s="12">
        <v>2018.0</v>
      </c>
      <c r="D40" s="33">
        <v>43147.0</v>
      </c>
      <c r="E40" s="12" t="s">
        <v>247</v>
      </c>
      <c r="F40" s="12" t="s">
        <v>141</v>
      </c>
      <c r="G40" s="12" t="s">
        <v>19</v>
      </c>
      <c r="I40" s="12" t="s">
        <v>130</v>
      </c>
      <c r="J40" s="12" t="s">
        <v>21</v>
      </c>
      <c r="K40" s="12" t="s">
        <v>148</v>
      </c>
      <c r="L40" s="12" t="s">
        <v>262</v>
      </c>
      <c r="M40" s="12">
        <v>42.0</v>
      </c>
      <c r="N40" s="12">
        <v>42.837608</v>
      </c>
      <c r="O40" s="12" t="s">
        <v>16</v>
      </c>
      <c r="P40" s="30" t="s">
        <v>299</v>
      </c>
    </row>
    <row r="41">
      <c r="A41" s="11">
        <v>43147.0</v>
      </c>
      <c r="B41" s="12" t="s">
        <v>16</v>
      </c>
      <c r="C41" s="12">
        <v>2018.0</v>
      </c>
      <c r="D41" s="33">
        <v>43147.0</v>
      </c>
      <c r="E41" s="12" t="s">
        <v>247</v>
      </c>
      <c r="F41" s="12" t="s">
        <v>18</v>
      </c>
      <c r="G41" s="12" t="s">
        <v>19</v>
      </c>
      <c r="I41" s="12" t="s">
        <v>130</v>
      </c>
      <c r="J41" s="12" t="s">
        <v>162</v>
      </c>
      <c r="K41" s="12" t="s">
        <v>148</v>
      </c>
      <c r="M41" s="12">
        <v>42.0</v>
      </c>
      <c r="N41" s="12">
        <v>42.837608</v>
      </c>
      <c r="O41" s="12" t="s">
        <v>16</v>
      </c>
      <c r="P41" s="13" t="s">
        <v>300</v>
      </c>
    </row>
    <row r="42">
      <c r="A42" s="11">
        <v>43164.0</v>
      </c>
      <c r="B42" s="12" t="s">
        <v>16</v>
      </c>
      <c r="C42" s="12">
        <v>2018.0</v>
      </c>
      <c r="D42" s="33">
        <v>43164.0</v>
      </c>
      <c r="E42" s="12" t="s">
        <v>247</v>
      </c>
      <c r="F42" s="12" t="s">
        <v>141</v>
      </c>
      <c r="G42" s="12" t="s">
        <v>28</v>
      </c>
      <c r="I42" s="12" t="s">
        <v>130</v>
      </c>
      <c r="J42" s="12" t="s">
        <v>21</v>
      </c>
      <c r="K42" s="12" t="s">
        <v>148</v>
      </c>
      <c r="L42" s="12" t="s">
        <v>262</v>
      </c>
      <c r="M42" s="12">
        <v>42.0</v>
      </c>
      <c r="N42" s="12">
        <v>42.837608</v>
      </c>
      <c r="O42" s="12" t="s">
        <v>16</v>
      </c>
      <c r="P42" s="30" t="s">
        <v>301</v>
      </c>
    </row>
    <row r="43">
      <c r="A43" s="11">
        <v>43164.0</v>
      </c>
      <c r="B43" s="12" t="s">
        <v>16</v>
      </c>
      <c r="C43" s="12">
        <v>2018.0</v>
      </c>
      <c r="D43" s="33">
        <v>43164.0</v>
      </c>
      <c r="E43" s="12" t="s">
        <v>247</v>
      </c>
      <c r="F43" s="12" t="s">
        <v>18</v>
      </c>
      <c r="G43" s="12" t="s">
        <v>28</v>
      </c>
      <c r="I43" s="12" t="s">
        <v>130</v>
      </c>
      <c r="J43" s="12" t="s">
        <v>162</v>
      </c>
      <c r="K43" s="12" t="s">
        <v>148</v>
      </c>
      <c r="M43" s="12">
        <v>42.0</v>
      </c>
      <c r="N43" s="12">
        <v>42.837608</v>
      </c>
      <c r="O43" s="12" t="s">
        <v>16</v>
      </c>
      <c r="P43" s="13" t="s">
        <v>301</v>
      </c>
    </row>
    <row r="44">
      <c r="A44" s="11">
        <v>43392.0</v>
      </c>
      <c r="B44" s="12" t="s">
        <v>16</v>
      </c>
      <c r="C44" s="12">
        <v>2018.0</v>
      </c>
      <c r="D44" s="33">
        <v>43392.0</v>
      </c>
      <c r="E44" s="12" t="s">
        <v>247</v>
      </c>
      <c r="F44" s="12" t="s">
        <v>49</v>
      </c>
      <c r="G44" s="12" t="s">
        <v>19</v>
      </c>
      <c r="I44" s="12" t="s">
        <v>130</v>
      </c>
      <c r="J44" s="12" t="s">
        <v>21</v>
      </c>
      <c r="K44" s="12" t="s">
        <v>148</v>
      </c>
      <c r="L44" s="12" t="s">
        <v>248</v>
      </c>
      <c r="M44" s="12">
        <v>42.0</v>
      </c>
      <c r="N44" s="12">
        <v>42.837608</v>
      </c>
      <c r="O44" s="12" t="s">
        <v>16</v>
      </c>
      <c r="P44" s="13" t="s">
        <v>302</v>
      </c>
    </row>
    <row r="45">
      <c r="A45" s="11">
        <v>43418.0</v>
      </c>
      <c r="B45" s="12" t="s">
        <v>16</v>
      </c>
      <c r="C45" s="12">
        <v>2018.0</v>
      </c>
      <c r="D45" s="33">
        <v>43435.0</v>
      </c>
      <c r="E45" s="12" t="s">
        <v>17</v>
      </c>
      <c r="F45" s="12" t="s">
        <v>18</v>
      </c>
      <c r="G45" s="12" t="s">
        <v>19</v>
      </c>
      <c r="I45" s="12" t="s">
        <v>20</v>
      </c>
      <c r="J45" s="12" t="s">
        <v>21</v>
      </c>
      <c r="K45" s="12" t="s">
        <v>38</v>
      </c>
      <c r="L45" s="12" t="s">
        <v>245</v>
      </c>
      <c r="M45" s="12">
        <v>42.0</v>
      </c>
      <c r="N45" s="12">
        <v>46.25</v>
      </c>
      <c r="O45" s="12" t="s">
        <v>16</v>
      </c>
      <c r="P45" s="30" t="s">
        <v>303</v>
      </c>
    </row>
    <row r="46">
      <c r="A46" s="11">
        <v>43418.0</v>
      </c>
      <c r="B46" s="12" t="s">
        <v>16</v>
      </c>
      <c r="C46" s="12">
        <v>2018.0</v>
      </c>
      <c r="D46" s="33">
        <v>43435.0</v>
      </c>
      <c r="E46" s="12" t="s">
        <v>17</v>
      </c>
      <c r="F46" s="12" t="s">
        <v>18</v>
      </c>
      <c r="G46" s="12" t="s">
        <v>19</v>
      </c>
      <c r="H46" s="12" t="s">
        <v>37</v>
      </c>
      <c r="I46" s="12" t="s">
        <v>201</v>
      </c>
      <c r="J46" s="12" t="s">
        <v>21</v>
      </c>
      <c r="K46" s="12" t="s">
        <v>304</v>
      </c>
      <c r="L46" s="12" t="s">
        <v>245</v>
      </c>
      <c r="M46" s="12">
        <v>42.0</v>
      </c>
      <c r="N46" s="12">
        <v>43.3065139</v>
      </c>
      <c r="O46" s="12" t="s">
        <v>16</v>
      </c>
      <c r="P46" s="30" t="s">
        <v>303</v>
      </c>
      <c r="Q46" s="12" t="s">
        <v>305</v>
      </c>
    </row>
    <row r="47">
      <c r="A47" s="11">
        <v>43465.0</v>
      </c>
      <c r="B47" s="12" t="s">
        <v>16</v>
      </c>
      <c r="C47" s="12">
        <v>2019.0</v>
      </c>
      <c r="D47" s="33">
        <v>43469.0</v>
      </c>
      <c r="E47" s="12" t="s">
        <v>17</v>
      </c>
      <c r="F47" s="12" t="s">
        <v>18</v>
      </c>
      <c r="G47" s="12" t="s">
        <v>28</v>
      </c>
      <c r="I47" s="12" t="s">
        <v>20</v>
      </c>
      <c r="J47" s="12" t="s">
        <v>21</v>
      </c>
      <c r="K47" s="12" t="s">
        <v>306</v>
      </c>
      <c r="M47" s="12">
        <v>43.3065139</v>
      </c>
      <c r="N47" s="12">
        <v>46.25</v>
      </c>
      <c r="O47" s="12" t="s">
        <v>16</v>
      </c>
      <c r="P47" s="30" t="s">
        <v>307</v>
      </c>
    </row>
    <row r="48">
      <c r="A48" s="11">
        <v>43489.0</v>
      </c>
      <c r="B48" s="12" t="s">
        <v>16</v>
      </c>
      <c r="C48" s="12">
        <v>2019.0</v>
      </c>
      <c r="D48" s="33">
        <v>43497.0</v>
      </c>
      <c r="E48" s="12" t="s">
        <v>17</v>
      </c>
      <c r="F48" s="12" t="s">
        <v>18</v>
      </c>
      <c r="G48" s="12" t="s">
        <v>28</v>
      </c>
      <c r="I48" s="12" t="s">
        <v>201</v>
      </c>
      <c r="J48" s="12" t="s">
        <v>21</v>
      </c>
      <c r="K48" s="12" t="s">
        <v>304</v>
      </c>
      <c r="M48" s="12">
        <v>42.0</v>
      </c>
      <c r="N48" s="12">
        <v>43.3065139</v>
      </c>
      <c r="O48" s="12" t="s">
        <v>16</v>
      </c>
      <c r="P48" s="13" t="s">
        <v>308</v>
      </c>
    </row>
    <row r="49">
      <c r="A49" s="11">
        <v>43510.0</v>
      </c>
      <c r="B49" s="12" t="s">
        <v>16</v>
      </c>
      <c r="C49" s="12">
        <v>2019.0</v>
      </c>
      <c r="D49" s="33">
        <v>43510.0</v>
      </c>
      <c r="E49" s="12" t="s">
        <v>17</v>
      </c>
      <c r="F49" s="12" t="s">
        <v>18</v>
      </c>
      <c r="G49" s="12" t="s">
        <v>19</v>
      </c>
      <c r="I49" s="12" t="s">
        <v>130</v>
      </c>
      <c r="J49" s="12" t="s">
        <v>162</v>
      </c>
      <c r="K49" s="12" t="s">
        <v>309</v>
      </c>
      <c r="M49" s="12">
        <v>42.0</v>
      </c>
      <c r="N49" s="12">
        <v>42.837608</v>
      </c>
      <c r="O49" s="12" t="s">
        <v>16</v>
      </c>
      <c r="P49" s="13" t="s">
        <v>310</v>
      </c>
    </row>
    <row r="50">
      <c r="A50" s="11">
        <v>43510.0</v>
      </c>
      <c r="B50" s="12" t="s">
        <v>16</v>
      </c>
      <c r="C50" s="12">
        <v>2019.0</v>
      </c>
      <c r="D50" s="33">
        <v>43510.0</v>
      </c>
      <c r="E50" s="12" t="s">
        <v>247</v>
      </c>
      <c r="F50" s="12" t="s">
        <v>141</v>
      </c>
      <c r="G50" s="12" t="s">
        <v>19</v>
      </c>
      <c r="I50" s="12" t="s">
        <v>130</v>
      </c>
      <c r="J50" s="12" t="s">
        <v>21</v>
      </c>
      <c r="K50" s="12" t="s">
        <v>309</v>
      </c>
      <c r="L50" s="12" t="s">
        <v>311</v>
      </c>
      <c r="M50" s="12">
        <v>42.0</v>
      </c>
      <c r="N50" s="12">
        <v>43.1116505</v>
      </c>
      <c r="O50" s="12" t="s">
        <v>16</v>
      </c>
      <c r="P50" s="13" t="s">
        <v>312</v>
      </c>
    </row>
    <row r="51">
      <c r="A51" s="11">
        <v>43552.0</v>
      </c>
      <c r="B51" s="12" t="s">
        <v>16</v>
      </c>
      <c r="C51" s="12">
        <v>2019.0</v>
      </c>
      <c r="D51" s="33">
        <v>43552.0</v>
      </c>
      <c r="E51" s="12" t="s">
        <v>17</v>
      </c>
      <c r="F51" s="12" t="s">
        <v>18</v>
      </c>
      <c r="G51" s="12" t="s">
        <v>28</v>
      </c>
      <c r="I51" s="12" t="s">
        <v>130</v>
      </c>
      <c r="J51" s="12" t="s">
        <v>162</v>
      </c>
      <c r="K51" s="12" t="s">
        <v>148</v>
      </c>
      <c r="M51" s="12">
        <v>42.0</v>
      </c>
      <c r="N51" s="12">
        <v>42.837608</v>
      </c>
      <c r="O51" s="12" t="s">
        <v>16</v>
      </c>
      <c r="P51" s="13" t="s">
        <v>313</v>
      </c>
    </row>
    <row r="52">
      <c r="A52" s="11">
        <v>43552.0</v>
      </c>
      <c r="B52" s="12" t="s">
        <v>16</v>
      </c>
      <c r="C52" s="12">
        <v>2019.0</v>
      </c>
      <c r="D52" s="33">
        <v>43552.0</v>
      </c>
      <c r="E52" s="12" t="s">
        <v>247</v>
      </c>
      <c r="F52" s="12" t="s">
        <v>141</v>
      </c>
      <c r="G52" s="12" t="s">
        <v>28</v>
      </c>
      <c r="I52" s="12" t="s">
        <v>130</v>
      </c>
      <c r="J52" s="12" t="s">
        <v>21</v>
      </c>
      <c r="K52" s="12" t="s">
        <v>38</v>
      </c>
      <c r="M52" s="12">
        <v>42.0</v>
      </c>
      <c r="N52" s="12">
        <v>46.25</v>
      </c>
      <c r="O52" s="12" t="s">
        <v>16</v>
      </c>
      <c r="P52" s="30" t="s">
        <v>313</v>
      </c>
      <c r="Q52" s="12" t="s">
        <v>314</v>
      </c>
    </row>
    <row r="53">
      <c r="A53" s="11">
        <v>43595.0</v>
      </c>
      <c r="B53" s="12" t="s">
        <v>16</v>
      </c>
      <c r="C53" s="12">
        <v>2019.0</v>
      </c>
      <c r="D53" s="33">
        <v>43595.0</v>
      </c>
      <c r="E53" s="12" t="s">
        <v>247</v>
      </c>
      <c r="F53" s="12" t="s">
        <v>141</v>
      </c>
      <c r="G53" s="12" t="s">
        <v>19</v>
      </c>
      <c r="I53" s="12" t="s">
        <v>130</v>
      </c>
      <c r="J53" s="12" t="s">
        <v>21</v>
      </c>
      <c r="K53" s="12" t="s">
        <v>148</v>
      </c>
      <c r="M53" s="12">
        <v>42.0</v>
      </c>
      <c r="N53" s="12">
        <v>42.837608</v>
      </c>
      <c r="O53" s="12" t="s">
        <v>16</v>
      </c>
      <c r="P53" s="13" t="s">
        <v>315</v>
      </c>
    </row>
    <row r="54">
      <c r="A54" s="11">
        <v>43595.0</v>
      </c>
      <c r="B54" s="12" t="s">
        <v>16</v>
      </c>
      <c r="C54" s="12">
        <v>2019.0</v>
      </c>
      <c r="D54" s="33">
        <v>43595.0</v>
      </c>
      <c r="E54" s="12" t="s">
        <v>247</v>
      </c>
      <c r="F54" s="12" t="s">
        <v>18</v>
      </c>
      <c r="G54" s="12" t="s">
        <v>19</v>
      </c>
      <c r="I54" s="12" t="s">
        <v>130</v>
      </c>
      <c r="J54" s="12" t="s">
        <v>162</v>
      </c>
      <c r="K54" s="12" t="s">
        <v>148</v>
      </c>
      <c r="M54" s="12">
        <v>42.0</v>
      </c>
      <c r="N54" s="12">
        <v>42.837608</v>
      </c>
      <c r="O54" s="12" t="s">
        <v>16</v>
      </c>
      <c r="P54" s="13" t="s">
        <v>315</v>
      </c>
    </row>
    <row r="55">
      <c r="A55" s="11">
        <v>43609.0</v>
      </c>
      <c r="B55" s="12" t="s">
        <v>16</v>
      </c>
      <c r="C55" s="12">
        <v>2019.0</v>
      </c>
      <c r="D55" s="33">
        <v>43595.0</v>
      </c>
      <c r="E55" s="12" t="s">
        <v>247</v>
      </c>
      <c r="F55" s="12" t="s">
        <v>141</v>
      </c>
      <c r="G55" s="12" t="s">
        <v>28</v>
      </c>
      <c r="I55" s="12" t="s">
        <v>130</v>
      </c>
      <c r="J55" s="12" t="s">
        <v>21</v>
      </c>
      <c r="K55" s="12" t="s">
        <v>148</v>
      </c>
      <c r="M55" s="12">
        <v>42.0</v>
      </c>
      <c r="N55" s="12">
        <v>42.837608</v>
      </c>
      <c r="O55" s="12" t="s">
        <v>16</v>
      </c>
      <c r="P55" s="13" t="s">
        <v>316</v>
      </c>
    </row>
    <row r="56">
      <c r="A56" s="11">
        <v>43609.0</v>
      </c>
      <c r="B56" s="12" t="s">
        <v>16</v>
      </c>
      <c r="C56" s="12">
        <v>2019.0</v>
      </c>
      <c r="D56" s="33">
        <v>43609.0</v>
      </c>
      <c r="E56" s="12" t="s">
        <v>247</v>
      </c>
      <c r="F56" s="12" t="s">
        <v>18</v>
      </c>
      <c r="G56" s="12" t="s">
        <v>28</v>
      </c>
      <c r="I56" s="12" t="s">
        <v>130</v>
      </c>
      <c r="J56" s="12" t="s">
        <v>162</v>
      </c>
      <c r="K56" s="12" t="s">
        <v>148</v>
      </c>
      <c r="M56" s="12">
        <v>42.0</v>
      </c>
      <c r="N56" s="12">
        <v>42.837608</v>
      </c>
      <c r="O56" s="12" t="s">
        <v>16</v>
      </c>
      <c r="P56" s="13" t="s">
        <v>316</v>
      </c>
    </row>
    <row r="57">
      <c r="A57" s="11">
        <v>43782.0</v>
      </c>
      <c r="B57" s="12" t="s">
        <v>16</v>
      </c>
      <c r="C57" s="12">
        <v>2019.0</v>
      </c>
      <c r="D57" s="33">
        <v>43800.0</v>
      </c>
      <c r="E57" s="12" t="s">
        <v>17</v>
      </c>
      <c r="F57" s="12" t="s">
        <v>18</v>
      </c>
      <c r="G57" s="12" t="s">
        <v>19</v>
      </c>
      <c r="I57" s="12" t="s">
        <v>20</v>
      </c>
      <c r="J57" s="12" t="s">
        <v>21</v>
      </c>
      <c r="K57" s="12" t="s">
        <v>38</v>
      </c>
      <c r="M57" s="12">
        <v>42.0</v>
      </c>
      <c r="N57" s="12">
        <v>46.25</v>
      </c>
      <c r="O57" s="12" t="s">
        <v>16</v>
      </c>
      <c r="P57" s="13" t="s">
        <v>317</v>
      </c>
    </row>
    <row r="58">
      <c r="A58" s="11">
        <v>43819.0</v>
      </c>
      <c r="B58" s="12" t="s">
        <v>16</v>
      </c>
      <c r="C58" s="12">
        <v>2019.0</v>
      </c>
      <c r="D58" s="33">
        <v>43830.0</v>
      </c>
      <c r="E58" s="12" t="s">
        <v>17</v>
      </c>
      <c r="F58" s="12" t="s">
        <v>18</v>
      </c>
      <c r="G58" s="12" t="s">
        <v>28</v>
      </c>
      <c r="I58" s="12" t="s">
        <v>20</v>
      </c>
      <c r="J58" s="12" t="s">
        <v>21</v>
      </c>
      <c r="K58" s="12" t="s">
        <v>38</v>
      </c>
      <c r="M58" s="12">
        <v>42.0</v>
      </c>
      <c r="N58" s="12">
        <v>46.25</v>
      </c>
      <c r="O58" s="12" t="s">
        <v>16</v>
      </c>
      <c r="P58" s="13" t="s">
        <v>318</v>
      </c>
    </row>
    <row r="59">
      <c r="A59" s="11">
        <v>44155.0</v>
      </c>
      <c r="B59" s="12" t="s">
        <v>16</v>
      </c>
      <c r="C59" s="12">
        <v>2020.0</v>
      </c>
      <c r="D59" s="33">
        <v>44166.0</v>
      </c>
      <c r="E59" s="12" t="s">
        <v>17</v>
      </c>
      <c r="F59" s="12" t="s">
        <v>18</v>
      </c>
      <c r="G59" s="12" t="s">
        <v>19</v>
      </c>
      <c r="I59" s="12" t="s">
        <v>20</v>
      </c>
      <c r="J59" s="12" t="s">
        <v>21</v>
      </c>
      <c r="K59" s="12" t="s">
        <v>38</v>
      </c>
      <c r="M59" s="12">
        <v>42.0</v>
      </c>
      <c r="N59" s="12">
        <v>46.25</v>
      </c>
      <c r="O59" s="12" t="s">
        <v>16</v>
      </c>
      <c r="P59" s="30" t="s">
        <v>319</v>
      </c>
    </row>
    <row r="60">
      <c r="A60" s="11">
        <v>44155.0</v>
      </c>
      <c r="B60" s="12" t="s">
        <v>16</v>
      </c>
      <c r="C60" s="12">
        <v>2020.0</v>
      </c>
      <c r="D60" s="33">
        <v>44166.0</v>
      </c>
      <c r="E60" s="12" t="s">
        <v>17</v>
      </c>
      <c r="F60" s="12" t="s">
        <v>18</v>
      </c>
      <c r="G60" s="12" t="s">
        <v>19</v>
      </c>
      <c r="H60" s="12" t="s">
        <v>37</v>
      </c>
      <c r="I60" s="12" t="s">
        <v>201</v>
      </c>
      <c r="J60" s="12" t="s">
        <v>21</v>
      </c>
      <c r="K60" s="12" t="s">
        <v>22</v>
      </c>
      <c r="M60" s="12">
        <v>45.7676203</v>
      </c>
      <c r="N60" s="12">
        <v>46.25</v>
      </c>
      <c r="O60" s="12" t="s">
        <v>16</v>
      </c>
      <c r="P60" s="30" t="s">
        <v>319</v>
      </c>
      <c r="Q60" s="12" t="s">
        <v>305</v>
      </c>
    </row>
    <row r="61">
      <c r="A61" s="11">
        <v>44173.0</v>
      </c>
      <c r="B61" s="12" t="s">
        <v>16</v>
      </c>
      <c r="C61" s="12">
        <v>2020.0</v>
      </c>
      <c r="D61" s="33">
        <v>44181.0</v>
      </c>
      <c r="E61" s="12" t="s">
        <v>17</v>
      </c>
      <c r="F61" s="12" t="s">
        <v>18</v>
      </c>
      <c r="G61" s="12" t="s">
        <v>28</v>
      </c>
      <c r="I61" s="12" t="s">
        <v>20</v>
      </c>
      <c r="J61" s="12" t="s">
        <v>21</v>
      </c>
      <c r="K61" s="12" t="s">
        <v>320</v>
      </c>
      <c r="M61" s="12">
        <v>42.0</v>
      </c>
      <c r="N61" s="12">
        <v>45.7676203</v>
      </c>
      <c r="O61" s="12" t="s">
        <v>16</v>
      </c>
      <c r="P61" s="13" t="s">
        <v>321</v>
      </c>
    </row>
    <row r="62">
      <c r="A62" s="11">
        <v>44235.0</v>
      </c>
      <c r="B62" s="12" t="s">
        <v>16</v>
      </c>
      <c r="C62" s="12">
        <v>2021.0</v>
      </c>
      <c r="D62" s="33">
        <v>44243.0</v>
      </c>
      <c r="E62" s="12" t="s">
        <v>17</v>
      </c>
      <c r="F62" s="12" t="s">
        <v>18</v>
      </c>
      <c r="G62" s="12" t="s">
        <v>28</v>
      </c>
      <c r="I62" s="12" t="s">
        <v>201</v>
      </c>
      <c r="J62" s="12" t="s">
        <v>21</v>
      </c>
      <c r="K62" s="12" t="s">
        <v>22</v>
      </c>
      <c r="M62" s="12">
        <v>45.7676203</v>
      </c>
      <c r="N62" s="12">
        <v>46.25</v>
      </c>
      <c r="O62" s="12" t="s">
        <v>16</v>
      </c>
      <c r="P62" s="30" t="s">
        <v>322</v>
      </c>
    </row>
    <row r="63">
      <c r="A63" s="11"/>
      <c r="B63" s="12" t="s">
        <v>16</v>
      </c>
      <c r="C63" s="12">
        <v>2021.0</v>
      </c>
      <c r="D63" s="33">
        <v>44317.0</v>
      </c>
      <c r="E63" s="12" t="s">
        <v>17</v>
      </c>
      <c r="F63" s="12" t="s">
        <v>18</v>
      </c>
      <c r="G63" s="12" t="s">
        <v>19</v>
      </c>
      <c r="I63" s="12" t="s">
        <v>323</v>
      </c>
      <c r="J63" s="12" t="s">
        <v>324</v>
      </c>
      <c r="K63" s="12" t="s">
        <v>38</v>
      </c>
      <c r="M63" s="12">
        <v>42.0</v>
      </c>
      <c r="N63" s="12">
        <v>46.25</v>
      </c>
      <c r="O63" s="12" t="s">
        <v>16</v>
      </c>
      <c r="P63" s="12"/>
    </row>
    <row r="64">
      <c r="A64" s="11"/>
      <c r="B64" s="12" t="s">
        <v>16</v>
      </c>
      <c r="C64" s="12">
        <v>2021.0</v>
      </c>
      <c r="D64" s="33">
        <v>44422.0</v>
      </c>
      <c r="E64" s="12" t="s">
        <v>17</v>
      </c>
      <c r="F64" s="12" t="s">
        <v>18</v>
      </c>
      <c r="G64" s="12" t="s">
        <v>28</v>
      </c>
      <c r="I64" s="12" t="s">
        <v>323</v>
      </c>
      <c r="J64" s="12" t="s">
        <v>324</v>
      </c>
      <c r="K64" s="12" t="s">
        <v>38</v>
      </c>
      <c r="M64" s="12">
        <v>42.0</v>
      </c>
      <c r="N64" s="12">
        <v>46.25</v>
      </c>
      <c r="O64" s="12" t="s">
        <v>16</v>
      </c>
      <c r="P64" s="12"/>
    </row>
    <row r="65">
      <c r="A65" s="11">
        <v>44883.0</v>
      </c>
      <c r="B65" s="12" t="s">
        <v>16</v>
      </c>
      <c r="C65" s="12">
        <v>2022.0</v>
      </c>
      <c r="D65" s="33">
        <v>44896.0</v>
      </c>
      <c r="E65" s="12" t="s">
        <v>17</v>
      </c>
      <c r="F65" s="12" t="s">
        <v>18</v>
      </c>
      <c r="G65" s="12" t="s">
        <v>19</v>
      </c>
      <c r="I65" s="12" t="s">
        <v>201</v>
      </c>
      <c r="J65" s="12" t="s">
        <v>21</v>
      </c>
      <c r="K65" s="12" t="s">
        <v>38</v>
      </c>
      <c r="M65" s="12">
        <v>42.0</v>
      </c>
      <c r="N65" s="12">
        <v>46.25</v>
      </c>
      <c r="O65" s="12" t="s">
        <v>16</v>
      </c>
      <c r="P65" s="30" t="s">
        <v>325</v>
      </c>
    </row>
    <row r="66">
      <c r="A66" s="11">
        <v>44902.0</v>
      </c>
      <c r="B66" s="12" t="s">
        <v>16</v>
      </c>
      <c r="C66" s="12">
        <v>2022.0</v>
      </c>
      <c r="D66" s="33">
        <v>44902.0</v>
      </c>
      <c r="E66" s="12" t="s">
        <v>17</v>
      </c>
      <c r="F66" s="12" t="s">
        <v>18</v>
      </c>
      <c r="G66" s="12" t="s">
        <v>19</v>
      </c>
      <c r="I66" s="12" t="s">
        <v>201</v>
      </c>
      <c r="J66" s="12" t="s">
        <v>21</v>
      </c>
      <c r="K66" s="12" t="s">
        <v>38</v>
      </c>
      <c r="M66" s="12">
        <v>42.0</v>
      </c>
      <c r="N66" s="12">
        <v>46.25</v>
      </c>
      <c r="O66" s="12" t="s">
        <v>16</v>
      </c>
      <c r="P66" s="30" t="s">
        <v>326</v>
      </c>
    </row>
    <row r="67">
      <c r="A67" s="11">
        <v>44917.0</v>
      </c>
      <c r="B67" s="12" t="s">
        <v>16</v>
      </c>
      <c r="C67" s="12">
        <v>2022.0</v>
      </c>
      <c r="D67" s="33">
        <v>44917.0</v>
      </c>
      <c r="E67" s="12" t="s">
        <v>17</v>
      </c>
      <c r="F67" s="12" t="s">
        <v>18</v>
      </c>
      <c r="G67" s="12" t="s">
        <v>19</v>
      </c>
      <c r="I67" s="12" t="s">
        <v>201</v>
      </c>
      <c r="J67" s="12" t="s">
        <v>21</v>
      </c>
      <c r="K67" s="12" t="s">
        <v>38</v>
      </c>
      <c r="M67" s="12">
        <v>42.0</v>
      </c>
      <c r="N67" s="12">
        <v>46.25</v>
      </c>
      <c r="O67" s="12" t="s">
        <v>16</v>
      </c>
      <c r="P67" s="30" t="s">
        <v>327</v>
      </c>
    </row>
    <row r="68">
      <c r="A68" s="36"/>
      <c r="B68" s="37" t="s">
        <v>16</v>
      </c>
      <c r="C68" s="38">
        <v>2022.0</v>
      </c>
      <c r="D68" s="39">
        <v>44682.0</v>
      </c>
      <c r="E68" s="37" t="s">
        <v>17</v>
      </c>
      <c r="F68" s="37" t="s">
        <v>18</v>
      </c>
      <c r="G68" s="37" t="s">
        <v>19</v>
      </c>
      <c r="H68" s="40"/>
      <c r="I68" s="37" t="s">
        <v>323</v>
      </c>
      <c r="J68" s="37" t="s">
        <v>324</v>
      </c>
      <c r="K68" s="37" t="s">
        <v>38</v>
      </c>
      <c r="L68" s="40"/>
      <c r="M68" s="41">
        <v>42.0</v>
      </c>
      <c r="N68" s="41">
        <v>46.25</v>
      </c>
      <c r="O68" s="37" t="s">
        <v>16</v>
      </c>
      <c r="P68" s="37"/>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row>
    <row r="69">
      <c r="A69" s="11">
        <v>44932.0</v>
      </c>
      <c r="B69" s="12" t="s">
        <v>16</v>
      </c>
      <c r="C69" s="12">
        <v>2023.0</v>
      </c>
      <c r="D69" s="33">
        <v>44941.0</v>
      </c>
      <c r="E69" s="12" t="s">
        <v>17</v>
      </c>
      <c r="F69" s="12" t="s">
        <v>18</v>
      </c>
      <c r="G69" s="12" t="s">
        <v>19</v>
      </c>
      <c r="I69" s="12" t="s">
        <v>130</v>
      </c>
      <c r="J69" s="12" t="s">
        <v>21</v>
      </c>
      <c r="K69" s="12" t="s">
        <v>328</v>
      </c>
      <c r="M69" s="12">
        <v>42.0</v>
      </c>
      <c r="N69" s="12">
        <v>45.7676203</v>
      </c>
      <c r="O69" s="12" t="s">
        <v>16</v>
      </c>
      <c r="P69" s="30" t="s">
        <v>329</v>
      </c>
    </row>
    <row r="70">
      <c r="A70" s="11">
        <v>44932.0</v>
      </c>
      <c r="B70" s="12" t="s">
        <v>16</v>
      </c>
      <c r="C70" s="12">
        <v>2023.0</v>
      </c>
      <c r="D70" s="33">
        <v>44941.0</v>
      </c>
      <c r="E70" s="12" t="s">
        <v>17</v>
      </c>
      <c r="F70" s="12" t="s">
        <v>18</v>
      </c>
      <c r="G70" s="12" t="s">
        <v>28</v>
      </c>
      <c r="I70" s="12" t="s">
        <v>201</v>
      </c>
      <c r="J70" s="12" t="s">
        <v>21</v>
      </c>
      <c r="K70" s="12" t="s">
        <v>330</v>
      </c>
      <c r="M70" s="12">
        <v>43.3065139</v>
      </c>
      <c r="N70" s="12">
        <v>45.7676203</v>
      </c>
      <c r="O70" s="12" t="s">
        <v>16</v>
      </c>
      <c r="P70" s="30" t="s">
        <v>329</v>
      </c>
    </row>
    <row r="71">
      <c r="A71" s="11"/>
      <c r="B71" s="12" t="s">
        <v>331</v>
      </c>
      <c r="C71" s="12">
        <v>2023.0</v>
      </c>
      <c r="D71" s="33">
        <v>44945.0</v>
      </c>
      <c r="E71" s="12" t="s">
        <v>17</v>
      </c>
      <c r="F71" s="12" t="s">
        <v>18</v>
      </c>
      <c r="G71" s="12" t="s">
        <v>19</v>
      </c>
      <c r="I71" s="12" t="s">
        <v>130</v>
      </c>
      <c r="J71" s="12" t="s">
        <v>162</v>
      </c>
      <c r="K71" s="12" t="s">
        <v>332</v>
      </c>
      <c r="M71" s="12">
        <f t="shared" ref="M71:M72" si="1">43+7/60</f>
        <v>43.11666667</v>
      </c>
      <c r="N71" s="12">
        <f t="shared" ref="N71:N72" si="2">43+25/60</f>
        <v>43.41666667</v>
      </c>
      <c r="O71" s="12" t="s">
        <v>331</v>
      </c>
      <c r="P71" s="12"/>
    </row>
    <row r="72">
      <c r="A72" s="11"/>
      <c r="B72" s="12" t="s">
        <v>331</v>
      </c>
      <c r="C72" s="12">
        <v>2023.0</v>
      </c>
      <c r="D72" s="33">
        <v>44958.0</v>
      </c>
      <c r="E72" s="12" t="s">
        <v>17</v>
      </c>
      <c r="F72" s="12" t="s">
        <v>18</v>
      </c>
      <c r="G72" s="12" t="s">
        <v>28</v>
      </c>
      <c r="I72" s="12" t="s">
        <v>130</v>
      </c>
      <c r="J72" s="12" t="s">
        <v>162</v>
      </c>
      <c r="K72" s="12" t="s">
        <v>332</v>
      </c>
      <c r="M72" s="12">
        <f t="shared" si="1"/>
        <v>43.11666667</v>
      </c>
      <c r="N72" s="12">
        <f t="shared" si="2"/>
        <v>43.41666667</v>
      </c>
      <c r="O72" s="12" t="s">
        <v>331</v>
      </c>
      <c r="P72" s="12"/>
    </row>
    <row r="73">
      <c r="A73" s="11">
        <v>44932.0</v>
      </c>
      <c r="B73" s="12" t="s">
        <v>16</v>
      </c>
      <c r="C73" s="12">
        <v>2023.0</v>
      </c>
      <c r="D73" s="33">
        <v>44958.0</v>
      </c>
      <c r="E73" s="12" t="s">
        <v>17</v>
      </c>
      <c r="F73" s="12" t="s">
        <v>18</v>
      </c>
      <c r="G73" s="12" t="s">
        <v>28</v>
      </c>
      <c r="I73" s="12" t="s">
        <v>201</v>
      </c>
      <c r="J73" s="12" t="s">
        <v>21</v>
      </c>
      <c r="K73" s="12" t="s">
        <v>333</v>
      </c>
      <c r="M73" s="12">
        <v>45.7676203</v>
      </c>
      <c r="N73" s="12">
        <v>46.25</v>
      </c>
      <c r="O73" s="12" t="s">
        <v>16</v>
      </c>
      <c r="P73" s="30" t="s">
        <v>329</v>
      </c>
    </row>
    <row r="74">
      <c r="A74" s="11">
        <v>44952.0</v>
      </c>
      <c r="B74" s="12" t="s">
        <v>16</v>
      </c>
      <c r="C74" s="12">
        <v>2023.0</v>
      </c>
      <c r="D74" s="33">
        <v>44961.0</v>
      </c>
      <c r="E74" s="12" t="s">
        <v>17</v>
      </c>
      <c r="F74" s="12" t="s">
        <v>18</v>
      </c>
      <c r="G74" s="12" t="s">
        <v>28</v>
      </c>
      <c r="I74" s="12" t="s">
        <v>130</v>
      </c>
      <c r="J74" s="12" t="s">
        <v>21</v>
      </c>
      <c r="K74" s="12" t="s">
        <v>328</v>
      </c>
      <c r="M74" s="12">
        <v>42.0</v>
      </c>
      <c r="N74" s="12">
        <v>45.7676203</v>
      </c>
      <c r="O74" s="12" t="s">
        <v>16</v>
      </c>
      <c r="P74" s="30" t="s">
        <v>334</v>
      </c>
    </row>
    <row r="75">
      <c r="A75" s="11"/>
      <c r="B75" s="12" t="s">
        <v>331</v>
      </c>
      <c r="C75" s="12"/>
      <c r="D75" s="33">
        <v>45043.0</v>
      </c>
      <c r="E75" s="12" t="s">
        <v>17</v>
      </c>
      <c r="F75" s="12" t="s">
        <v>18</v>
      </c>
      <c r="G75" s="12" t="s">
        <v>19</v>
      </c>
      <c r="I75" s="12" t="s">
        <v>130</v>
      </c>
      <c r="J75" s="12" t="s">
        <v>162</v>
      </c>
      <c r="K75" s="12" t="s">
        <v>335</v>
      </c>
      <c r="M75" s="12">
        <f t="shared" ref="M75:M77" si="3">42+50/60</f>
        <v>42.83333333</v>
      </c>
      <c r="N75" s="12">
        <f t="shared" ref="N75:N77" si="4">43+47/60</f>
        <v>43.78333333</v>
      </c>
      <c r="O75" s="12" t="s">
        <v>331</v>
      </c>
      <c r="P75" s="12"/>
    </row>
    <row r="76">
      <c r="A76" s="11">
        <v>45047.0</v>
      </c>
      <c r="B76" s="12" t="s">
        <v>16</v>
      </c>
      <c r="C76" s="12">
        <v>2023.0</v>
      </c>
      <c r="D76" s="33">
        <v>45047.0</v>
      </c>
      <c r="E76" s="12" t="s">
        <v>17</v>
      </c>
      <c r="F76" s="12" t="s">
        <v>18</v>
      </c>
      <c r="G76" s="12" t="s">
        <v>19</v>
      </c>
      <c r="I76" s="12" t="s">
        <v>130</v>
      </c>
      <c r="J76" s="12" t="s">
        <v>336</v>
      </c>
      <c r="K76" s="12" t="s">
        <v>335</v>
      </c>
      <c r="M76" s="12">
        <f t="shared" si="3"/>
        <v>42.83333333</v>
      </c>
      <c r="N76" s="12">
        <f t="shared" si="4"/>
        <v>43.78333333</v>
      </c>
      <c r="O76" s="12" t="s">
        <v>16</v>
      </c>
      <c r="P76" s="30" t="s">
        <v>337</v>
      </c>
    </row>
    <row r="77">
      <c r="A77" s="11"/>
      <c r="B77" s="12" t="s">
        <v>331</v>
      </c>
      <c r="C77" s="12">
        <v>2023.0</v>
      </c>
      <c r="D77" s="33">
        <v>45056.0</v>
      </c>
      <c r="E77" s="12" t="s">
        <v>17</v>
      </c>
      <c r="F77" s="12" t="s">
        <v>18</v>
      </c>
      <c r="G77" s="12" t="s">
        <v>19</v>
      </c>
      <c r="I77" s="12" t="s">
        <v>130</v>
      </c>
      <c r="J77" s="37" t="s">
        <v>324</v>
      </c>
      <c r="K77" s="12" t="s">
        <v>335</v>
      </c>
      <c r="M77" s="12">
        <f t="shared" si="3"/>
        <v>42.83333333</v>
      </c>
      <c r="N77" s="12">
        <f t="shared" si="4"/>
        <v>43.78333333</v>
      </c>
      <c r="O77" s="12" t="s">
        <v>331</v>
      </c>
      <c r="P77" s="12"/>
    </row>
    <row r="78">
      <c r="A78" s="11"/>
      <c r="B78" s="12" t="s">
        <v>16</v>
      </c>
      <c r="C78" s="12">
        <v>2023.0</v>
      </c>
      <c r="D78" s="33">
        <v>45047.0</v>
      </c>
      <c r="E78" s="37" t="s">
        <v>17</v>
      </c>
      <c r="F78" s="37" t="s">
        <v>18</v>
      </c>
      <c r="G78" s="37" t="s">
        <v>19</v>
      </c>
      <c r="H78" s="40"/>
      <c r="I78" s="37" t="s">
        <v>323</v>
      </c>
      <c r="J78" s="37" t="s">
        <v>324</v>
      </c>
      <c r="K78" s="12" t="s">
        <v>338</v>
      </c>
      <c r="M78" s="12">
        <f>43+47/60</f>
        <v>43.78333333</v>
      </c>
      <c r="N78" s="41">
        <v>46.25</v>
      </c>
      <c r="O78" s="12" t="s">
        <v>16</v>
      </c>
      <c r="P78" s="12"/>
    </row>
    <row r="79">
      <c r="A79" s="11"/>
      <c r="B79" s="12" t="s">
        <v>16</v>
      </c>
      <c r="C79" s="12">
        <v>2023.0</v>
      </c>
      <c r="D79" s="33">
        <v>45047.0</v>
      </c>
      <c r="E79" s="37" t="s">
        <v>17</v>
      </c>
      <c r="F79" s="37" t="s">
        <v>18</v>
      </c>
      <c r="G79" s="37" t="s">
        <v>19</v>
      </c>
      <c r="H79" s="40"/>
      <c r="I79" s="37" t="s">
        <v>323</v>
      </c>
      <c r="J79" s="37" t="s">
        <v>324</v>
      </c>
      <c r="K79" s="12" t="s">
        <v>339</v>
      </c>
      <c r="M79" s="12">
        <v>42.0</v>
      </c>
      <c r="N79" s="12">
        <f>42+50/60</f>
        <v>42.83333333</v>
      </c>
      <c r="O79" s="12" t="s">
        <v>16</v>
      </c>
      <c r="P79" s="12"/>
    </row>
    <row r="80">
      <c r="A80" s="11">
        <v>45247.0</v>
      </c>
      <c r="B80" s="12" t="s">
        <v>16</v>
      </c>
      <c r="C80" s="12">
        <v>2023.0</v>
      </c>
      <c r="D80" s="33">
        <v>45261.0</v>
      </c>
      <c r="E80" s="12" t="s">
        <v>17</v>
      </c>
      <c r="F80" s="12" t="s">
        <v>18</v>
      </c>
      <c r="G80" s="12" t="s">
        <v>19</v>
      </c>
      <c r="I80" s="12" t="s">
        <v>20</v>
      </c>
      <c r="J80" s="12" t="s">
        <v>21</v>
      </c>
      <c r="K80" s="12" t="s">
        <v>38</v>
      </c>
      <c r="M80" s="12">
        <v>42.0</v>
      </c>
      <c r="N80" s="12">
        <v>46.25</v>
      </c>
      <c r="O80" s="12" t="s">
        <v>16</v>
      </c>
      <c r="P80" s="30" t="s">
        <v>340</v>
      </c>
    </row>
    <row r="81">
      <c r="A81" s="11">
        <v>45265.0</v>
      </c>
      <c r="B81" s="12" t="s">
        <v>16</v>
      </c>
      <c r="C81" s="12">
        <v>2023.0</v>
      </c>
      <c r="D81" s="33">
        <v>45276.0</v>
      </c>
      <c r="E81" s="12" t="s">
        <v>17</v>
      </c>
      <c r="F81" s="12" t="s">
        <v>18</v>
      </c>
      <c r="G81" s="12" t="s">
        <v>28</v>
      </c>
      <c r="I81" s="12" t="s">
        <v>20</v>
      </c>
      <c r="J81" s="12" t="s">
        <v>21</v>
      </c>
      <c r="K81" s="12" t="s">
        <v>341</v>
      </c>
      <c r="M81" s="12">
        <v>42.0</v>
      </c>
      <c r="N81" s="12">
        <v>44.772351</v>
      </c>
      <c r="O81" s="12" t="s">
        <v>16</v>
      </c>
      <c r="P81" s="30" t="s">
        <v>342</v>
      </c>
    </row>
    <row r="82">
      <c r="A82" s="11">
        <v>45280.0</v>
      </c>
      <c r="B82" s="12" t="s">
        <v>16</v>
      </c>
      <c r="C82" s="12">
        <v>2023.0</v>
      </c>
      <c r="D82" s="33">
        <v>45291.0</v>
      </c>
      <c r="E82" s="12" t="s">
        <v>17</v>
      </c>
      <c r="F82" s="12" t="s">
        <v>18</v>
      </c>
      <c r="G82" s="12" t="s">
        <v>28</v>
      </c>
      <c r="I82" s="12" t="s">
        <v>20</v>
      </c>
      <c r="J82" s="12" t="s">
        <v>21</v>
      </c>
      <c r="K82" s="12" t="s">
        <v>343</v>
      </c>
      <c r="M82" s="12">
        <v>44.772351</v>
      </c>
      <c r="N82" s="12">
        <v>45.7676203</v>
      </c>
      <c r="O82" s="12" t="s">
        <v>16</v>
      </c>
      <c r="P82" s="30" t="s">
        <v>344</v>
      </c>
    </row>
    <row r="83">
      <c r="A83" s="11">
        <v>45296.0</v>
      </c>
      <c r="B83" s="12" t="s">
        <v>16</v>
      </c>
      <c r="C83" s="12">
        <v>2024.0</v>
      </c>
      <c r="D83" s="33">
        <v>45323.0</v>
      </c>
      <c r="E83" s="12" t="s">
        <v>17</v>
      </c>
      <c r="F83" s="12" t="s">
        <v>18</v>
      </c>
      <c r="G83" s="12" t="s">
        <v>28</v>
      </c>
      <c r="I83" s="12" t="s">
        <v>20</v>
      </c>
      <c r="J83" s="12" t="s">
        <v>21</v>
      </c>
      <c r="K83" s="12" t="s">
        <v>345</v>
      </c>
      <c r="M83" s="12">
        <v>45.7676203</v>
      </c>
      <c r="N83" s="12">
        <v>46.25</v>
      </c>
      <c r="O83" s="12" t="s">
        <v>16</v>
      </c>
      <c r="P83" s="30" t="s">
        <v>346</v>
      </c>
    </row>
    <row r="84">
      <c r="A84" s="36"/>
      <c r="B84" s="37" t="s">
        <v>16</v>
      </c>
      <c r="C84" s="38">
        <v>2024.0</v>
      </c>
      <c r="D84" s="39">
        <v>45413.0</v>
      </c>
      <c r="E84" s="37" t="s">
        <v>17</v>
      </c>
      <c r="F84" s="37" t="s">
        <v>18</v>
      </c>
      <c r="G84" s="37" t="s">
        <v>19</v>
      </c>
      <c r="H84" s="40"/>
      <c r="I84" s="37" t="s">
        <v>323</v>
      </c>
      <c r="J84" s="37" t="s">
        <v>324</v>
      </c>
      <c r="K84" s="37" t="s">
        <v>38</v>
      </c>
      <c r="L84" s="40"/>
      <c r="M84" s="41">
        <v>42.0</v>
      </c>
      <c r="N84" s="41">
        <v>46.25</v>
      </c>
      <c r="O84" s="12" t="s">
        <v>347</v>
      </c>
      <c r="P84" s="37"/>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row>
    <row r="85">
      <c r="A85" s="42">
        <v>45610.0</v>
      </c>
      <c r="B85" s="43" t="s">
        <v>16</v>
      </c>
      <c r="C85" s="43">
        <v>2024.0</v>
      </c>
      <c r="D85" s="44">
        <v>45627.0</v>
      </c>
      <c r="E85" s="43" t="s">
        <v>17</v>
      </c>
      <c r="F85" s="43" t="s">
        <v>49</v>
      </c>
      <c r="G85" s="43" t="s">
        <v>19</v>
      </c>
      <c r="H85" s="45"/>
      <c r="I85" s="43" t="s">
        <v>201</v>
      </c>
      <c r="J85" s="43" t="s">
        <v>21</v>
      </c>
      <c r="K85" s="43" t="s">
        <v>348</v>
      </c>
      <c r="L85" s="45"/>
      <c r="M85" s="43">
        <v>42.0</v>
      </c>
      <c r="N85" s="43">
        <v>42.837608</v>
      </c>
      <c r="O85" s="43" t="s">
        <v>16</v>
      </c>
      <c r="P85" s="46" t="s">
        <v>349</v>
      </c>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row>
    <row r="86">
      <c r="A86" s="11">
        <v>45616.0</v>
      </c>
      <c r="B86" s="12" t="s">
        <v>16</v>
      </c>
      <c r="C86" s="12">
        <v>2024.0</v>
      </c>
      <c r="D86" s="33">
        <v>45627.0</v>
      </c>
      <c r="E86" s="12" t="s">
        <v>17</v>
      </c>
      <c r="F86" s="12" t="s">
        <v>18</v>
      </c>
      <c r="G86" s="12" t="s">
        <v>19</v>
      </c>
      <c r="I86" s="12" t="s">
        <v>20</v>
      </c>
      <c r="J86" s="12" t="s">
        <v>21</v>
      </c>
      <c r="K86" s="12" t="s">
        <v>350</v>
      </c>
      <c r="M86" s="12">
        <v>42.837608</v>
      </c>
      <c r="N86" s="12">
        <v>46.25</v>
      </c>
      <c r="O86" s="12" t="s">
        <v>16</v>
      </c>
      <c r="P86" s="30" t="s">
        <v>351</v>
      </c>
    </row>
    <row r="87">
      <c r="A87" s="11">
        <v>45630.0</v>
      </c>
      <c r="B87" s="12" t="s">
        <v>16</v>
      </c>
      <c r="C87" s="12">
        <v>2024.0</v>
      </c>
      <c r="D87" s="33">
        <v>45630.0</v>
      </c>
      <c r="E87" s="12" t="s">
        <v>17</v>
      </c>
      <c r="F87" s="12" t="s">
        <v>141</v>
      </c>
      <c r="G87" s="12" t="s">
        <v>28</v>
      </c>
      <c r="I87" s="12" t="s">
        <v>201</v>
      </c>
      <c r="J87" s="12" t="s">
        <v>28</v>
      </c>
      <c r="K87" s="12" t="s">
        <v>38</v>
      </c>
      <c r="M87" s="12">
        <v>42.0</v>
      </c>
      <c r="N87" s="12">
        <v>46.25</v>
      </c>
      <c r="O87" s="12" t="s">
        <v>16</v>
      </c>
      <c r="P87" s="30" t="s">
        <v>352</v>
      </c>
    </row>
    <row r="88">
      <c r="A88" s="47">
        <v>45631.0</v>
      </c>
      <c r="B88" s="48" t="s">
        <v>16</v>
      </c>
      <c r="C88" s="48">
        <v>2024.0</v>
      </c>
      <c r="D88" s="49">
        <v>45642.0</v>
      </c>
      <c r="E88" s="48" t="s">
        <v>17</v>
      </c>
      <c r="F88" s="48" t="s">
        <v>18</v>
      </c>
      <c r="G88" s="48" t="s">
        <v>28</v>
      </c>
      <c r="H88" s="50"/>
      <c r="I88" s="48" t="s">
        <v>201</v>
      </c>
      <c r="J88" s="48" t="s">
        <v>28</v>
      </c>
      <c r="K88" s="48" t="s">
        <v>328</v>
      </c>
      <c r="L88" s="50"/>
      <c r="M88" s="48">
        <v>42.0</v>
      </c>
      <c r="N88" s="48">
        <v>45.7676203</v>
      </c>
      <c r="O88" s="48" t="s">
        <v>16</v>
      </c>
      <c r="P88" s="51" t="s">
        <v>353</v>
      </c>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row>
    <row r="89">
      <c r="A89" s="11">
        <v>45649.0</v>
      </c>
      <c r="B89" s="12" t="s">
        <v>16</v>
      </c>
      <c r="C89" s="12">
        <v>2024.0</v>
      </c>
      <c r="D89" s="33">
        <v>45649.0</v>
      </c>
      <c r="E89" s="12" t="s">
        <v>17</v>
      </c>
      <c r="F89" s="12" t="s">
        <v>18</v>
      </c>
      <c r="G89" s="12" t="s">
        <v>19</v>
      </c>
      <c r="I89" s="12" t="s">
        <v>20</v>
      </c>
      <c r="J89" s="12" t="s">
        <v>21</v>
      </c>
      <c r="K89" s="12" t="s">
        <v>345</v>
      </c>
      <c r="M89" s="12">
        <v>45.7676203</v>
      </c>
      <c r="N89" s="12">
        <v>46.25</v>
      </c>
      <c r="O89" s="12" t="s">
        <v>16</v>
      </c>
      <c r="P89" s="30" t="s">
        <v>354</v>
      </c>
    </row>
    <row r="90">
      <c r="A90" s="11">
        <v>45664.0</v>
      </c>
      <c r="B90" s="12" t="s">
        <v>16</v>
      </c>
      <c r="C90" s="12">
        <v>2025.0</v>
      </c>
      <c r="D90" s="33">
        <v>45672.0</v>
      </c>
      <c r="E90" s="12" t="s">
        <v>17</v>
      </c>
      <c r="F90" s="12" t="s">
        <v>18</v>
      </c>
      <c r="G90" s="12" t="s">
        <v>28</v>
      </c>
      <c r="I90" s="12" t="s">
        <v>20</v>
      </c>
      <c r="J90" s="12" t="s">
        <v>28</v>
      </c>
      <c r="K90" s="12" t="s">
        <v>345</v>
      </c>
      <c r="M90" s="12">
        <v>45.7676203</v>
      </c>
      <c r="N90" s="12">
        <v>46.25</v>
      </c>
      <c r="O90" s="12" t="s">
        <v>16</v>
      </c>
      <c r="P90" s="30" t="s">
        <v>355</v>
      </c>
    </row>
    <row r="91">
      <c r="A91" s="11"/>
      <c r="B91" s="37" t="s">
        <v>16</v>
      </c>
      <c r="C91" s="38">
        <v>2025.0</v>
      </c>
      <c r="D91" s="39">
        <v>45778.0</v>
      </c>
      <c r="E91" s="37" t="s">
        <v>17</v>
      </c>
      <c r="F91" s="37" t="s">
        <v>18</v>
      </c>
      <c r="G91" s="37" t="s">
        <v>19</v>
      </c>
      <c r="H91" s="40"/>
      <c r="I91" s="37" t="s">
        <v>323</v>
      </c>
      <c r="J91" s="37" t="s">
        <v>324</v>
      </c>
      <c r="K91" s="37" t="s">
        <v>38</v>
      </c>
      <c r="M91" s="12">
        <v>42.0</v>
      </c>
      <c r="N91" s="12">
        <v>46.25</v>
      </c>
      <c r="O91" s="12" t="s">
        <v>347</v>
      </c>
      <c r="P91" s="12"/>
    </row>
    <row r="92">
      <c r="A92" s="11">
        <v>45982.0</v>
      </c>
      <c r="B92" s="12" t="s">
        <v>16</v>
      </c>
      <c r="C92" s="12">
        <v>2025.0</v>
      </c>
      <c r="D92" s="33">
        <v>45992.0</v>
      </c>
      <c r="E92" s="12" t="s">
        <v>17</v>
      </c>
      <c r="F92" s="12" t="s">
        <v>18</v>
      </c>
      <c r="G92" s="12" t="s">
        <v>19</v>
      </c>
      <c r="I92" s="12" t="s">
        <v>201</v>
      </c>
      <c r="J92" s="12" t="s">
        <v>21</v>
      </c>
      <c r="K92" s="12" t="s">
        <v>38</v>
      </c>
      <c r="M92" s="12">
        <v>42.0</v>
      </c>
      <c r="N92" s="12">
        <v>46.25</v>
      </c>
      <c r="O92" s="12" t="s">
        <v>16</v>
      </c>
      <c r="P92" s="30" t="s">
        <v>356</v>
      </c>
    </row>
    <row r="93">
      <c r="A93" s="11">
        <v>45996.0</v>
      </c>
      <c r="B93" s="12" t="s">
        <v>16</v>
      </c>
      <c r="C93" s="12">
        <v>2025.0</v>
      </c>
      <c r="D93" s="33">
        <v>46007.0</v>
      </c>
      <c r="E93" s="12" t="s">
        <v>17</v>
      </c>
      <c r="F93" s="12" t="s">
        <v>18</v>
      </c>
      <c r="G93" s="12" t="s">
        <v>28</v>
      </c>
      <c r="I93" s="12" t="s">
        <v>201</v>
      </c>
      <c r="J93" s="12" t="s">
        <v>28</v>
      </c>
      <c r="K93" s="12" t="s">
        <v>328</v>
      </c>
      <c r="M93" s="12">
        <v>42.0</v>
      </c>
      <c r="N93" s="12">
        <v>45.7676203</v>
      </c>
      <c r="O93" s="12" t="s">
        <v>16</v>
      </c>
      <c r="P93" s="35" t="s">
        <v>357</v>
      </c>
    </row>
    <row r="94">
      <c r="A94" s="11">
        <v>46010.0</v>
      </c>
      <c r="B94" s="12" t="s">
        <v>16</v>
      </c>
      <c r="C94" s="12">
        <v>2025.0</v>
      </c>
      <c r="D94" s="33">
        <v>46022.0</v>
      </c>
      <c r="E94" s="12" t="s">
        <v>17</v>
      </c>
      <c r="F94" s="12" t="s">
        <v>18</v>
      </c>
      <c r="G94" s="12" t="s">
        <v>28</v>
      </c>
      <c r="I94" s="12" t="s">
        <v>201</v>
      </c>
      <c r="J94" s="12" t="s">
        <v>28</v>
      </c>
      <c r="K94" s="12" t="s">
        <v>345</v>
      </c>
      <c r="M94" s="12">
        <v>45.7676203</v>
      </c>
      <c r="N94" s="12">
        <v>46.25</v>
      </c>
      <c r="O94" s="12" t="s">
        <v>16</v>
      </c>
      <c r="P94" s="30" t="s">
        <v>358</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Q25"/>
    <hyperlink r:id="rId26" ref="P26"/>
    <hyperlink r:id="rId27" ref="P27"/>
    <hyperlink r:id="rId28" ref="P28"/>
    <hyperlink r:id="rId29" ref="P29"/>
    <hyperlink r:id="rId30" ref="P30"/>
    <hyperlink r:id="rId31" ref="P31"/>
    <hyperlink r:id="rId32" ref="P32"/>
    <hyperlink r:id="rId33" ref="P33"/>
    <hyperlink r:id="rId34" ref="P34"/>
    <hyperlink r:id="rId35" ref="P35"/>
    <hyperlink r:id="rId36" ref="P36"/>
    <hyperlink r:id="rId37" ref="P37"/>
    <hyperlink r:id="rId38" ref="P38"/>
    <hyperlink r:id="rId39" ref="P39"/>
    <hyperlink r:id="rId40" ref="P40"/>
    <hyperlink r:id="rId41" ref="P41"/>
    <hyperlink r:id="rId42" ref="P42"/>
    <hyperlink r:id="rId43" ref="P43"/>
    <hyperlink r:id="rId44" ref="P44"/>
    <hyperlink r:id="rId45" ref="P45"/>
    <hyperlink r:id="rId46" ref="P46"/>
    <hyperlink r:id="rId47" ref="P47"/>
    <hyperlink r:id="rId48" ref="P48"/>
    <hyperlink r:id="rId49" ref="P49"/>
    <hyperlink r:id="rId50" ref="P50"/>
    <hyperlink r:id="rId51" ref="P51"/>
    <hyperlink r:id="rId52" ref="P52"/>
    <hyperlink r:id="rId53" ref="P53"/>
    <hyperlink r:id="rId54" ref="P54"/>
    <hyperlink r:id="rId55" ref="P55"/>
    <hyperlink r:id="rId56" ref="P56"/>
    <hyperlink r:id="rId57" ref="P57"/>
    <hyperlink r:id="rId58" ref="P58"/>
    <hyperlink r:id="rId59" ref="P59"/>
    <hyperlink r:id="rId60" ref="P60"/>
    <hyperlink r:id="rId61" ref="P61"/>
    <hyperlink r:id="rId62" ref="P62"/>
    <hyperlink r:id="rId63" ref="P65"/>
    <hyperlink r:id="rId64" ref="P66"/>
    <hyperlink r:id="rId65" ref="P67"/>
    <hyperlink r:id="rId66" ref="P69"/>
    <hyperlink r:id="rId67" ref="P70"/>
    <hyperlink r:id="rId68" ref="P73"/>
    <hyperlink r:id="rId69" ref="P74"/>
    <hyperlink r:id="rId70" ref="P76"/>
    <hyperlink r:id="rId71" ref="P80"/>
    <hyperlink r:id="rId72" ref="P81"/>
    <hyperlink r:id="rId73" ref="P82"/>
    <hyperlink r:id="rId74" ref="P83"/>
    <hyperlink r:id="rId75" ref="P85"/>
    <hyperlink r:id="rId76" ref="P86"/>
    <hyperlink r:id="rId77" ref="P87"/>
    <hyperlink r:id="rId78" ref="P88"/>
    <hyperlink r:id="rId79" ref="P89"/>
    <hyperlink r:id="rId80" ref="P90"/>
    <hyperlink r:id="rId81" ref="P92"/>
    <hyperlink r:id="rId82" ref="P93"/>
    <hyperlink r:id="rId83" ref="P94"/>
  </hyperlinks>
  <drawing r:id="rId8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6" max="6" width="18.63"/>
    <col customWidth="1" min="9" max="9" width="22.5"/>
    <col customWidth="1" min="10" max="10" width="25.75"/>
    <col customWidth="1" min="11" max="11" width="41.38"/>
  </cols>
  <sheetData>
    <row r="1">
      <c r="A1" s="1" t="s">
        <v>0</v>
      </c>
      <c r="B1" s="1" t="s">
        <v>1</v>
      </c>
      <c r="C1" s="1" t="s">
        <v>2</v>
      </c>
      <c r="D1" s="1" t="s">
        <v>3</v>
      </c>
      <c r="E1" s="1" t="s">
        <v>4</v>
      </c>
      <c r="F1" s="1" t="s">
        <v>5</v>
      </c>
      <c r="G1" s="1" t="s">
        <v>6</v>
      </c>
      <c r="H1" s="2" t="s">
        <v>7</v>
      </c>
      <c r="I1" s="1" t="s">
        <v>8</v>
      </c>
      <c r="J1" s="2" t="s">
        <v>240</v>
      </c>
      <c r="K1" s="1" t="s">
        <v>10</v>
      </c>
      <c r="L1" s="2" t="s">
        <v>241</v>
      </c>
      <c r="M1" s="1" t="s">
        <v>11</v>
      </c>
      <c r="N1" s="1" t="s">
        <v>12</v>
      </c>
      <c r="O1" s="2" t="s">
        <v>13</v>
      </c>
      <c r="P1" s="1" t="s">
        <v>14</v>
      </c>
      <c r="Q1" s="1" t="s">
        <v>15</v>
      </c>
    </row>
    <row r="2">
      <c r="A2" s="11">
        <v>42503.0</v>
      </c>
      <c r="B2" s="12" t="s">
        <v>359</v>
      </c>
      <c r="C2" s="12">
        <v>2016.0</v>
      </c>
      <c r="D2" s="52">
        <v>42503.0</v>
      </c>
      <c r="E2" s="12" t="s">
        <v>360</v>
      </c>
      <c r="F2" s="12" t="s">
        <v>361</v>
      </c>
      <c r="G2" s="12" t="s">
        <v>28</v>
      </c>
      <c r="I2" s="12" t="s">
        <v>130</v>
      </c>
      <c r="J2" s="12" t="s">
        <v>21</v>
      </c>
      <c r="K2" s="12" t="s">
        <v>362</v>
      </c>
      <c r="M2" s="12">
        <v>45.0445654</v>
      </c>
      <c r="N2" s="12">
        <v>45.0567872</v>
      </c>
      <c r="O2" s="12" t="s">
        <v>359</v>
      </c>
      <c r="P2" s="13" t="s">
        <v>363</v>
      </c>
      <c r="Q2" s="12" t="s">
        <v>364</v>
      </c>
    </row>
    <row r="3">
      <c r="A3" s="11">
        <v>42637.0</v>
      </c>
      <c r="B3" s="12" t="s">
        <v>359</v>
      </c>
      <c r="C3" s="12">
        <v>2016.0</v>
      </c>
      <c r="D3" s="52">
        <v>42637.0</v>
      </c>
      <c r="E3" s="12" t="s">
        <v>360</v>
      </c>
      <c r="F3" s="12" t="s">
        <v>365</v>
      </c>
      <c r="G3" s="12" t="s">
        <v>19</v>
      </c>
      <c r="I3" s="12" t="s">
        <v>130</v>
      </c>
      <c r="J3" s="12" t="s">
        <v>21</v>
      </c>
      <c r="K3" s="12" t="s">
        <v>38</v>
      </c>
      <c r="M3" s="12">
        <v>42.0</v>
      </c>
      <c r="N3" s="12">
        <v>46.25</v>
      </c>
      <c r="O3" s="12" t="s">
        <v>359</v>
      </c>
      <c r="P3" s="13" t="s">
        <v>366</v>
      </c>
      <c r="Q3" s="12" t="s">
        <v>367</v>
      </c>
    </row>
    <row r="4">
      <c r="A4" s="11">
        <v>42958.0</v>
      </c>
      <c r="B4" s="12" t="s">
        <v>359</v>
      </c>
      <c r="C4" s="12">
        <v>2017.0</v>
      </c>
      <c r="D4" s="52">
        <v>42958.0</v>
      </c>
      <c r="E4" s="12" t="s">
        <v>360</v>
      </c>
      <c r="F4" s="12" t="s">
        <v>361</v>
      </c>
      <c r="G4" s="12" t="s">
        <v>28</v>
      </c>
      <c r="I4" s="12" t="s">
        <v>130</v>
      </c>
      <c r="J4" s="12" t="s">
        <v>21</v>
      </c>
      <c r="K4" s="12" t="s">
        <v>368</v>
      </c>
      <c r="M4" s="12">
        <v>45.0567872</v>
      </c>
      <c r="N4" s="5">
        <v>45.9414945</v>
      </c>
      <c r="O4" s="12" t="s">
        <v>359</v>
      </c>
      <c r="P4" s="30" t="s">
        <v>369</v>
      </c>
      <c r="Q4" s="12" t="s">
        <v>370</v>
      </c>
    </row>
    <row r="5">
      <c r="A5" s="11">
        <v>43006.0</v>
      </c>
      <c r="B5" s="12" t="s">
        <v>359</v>
      </c>
      <c r="C5" s="12">
        <v>2016.0</v>
      </c>
      <c r="D5" s="52">
        <v>42566.0</v>
      </c>
      <c r="E5" s="12" t="s">
        <v>360</v>
      </c>
      <c r="F5" s="12" t="s">
        <v>361</v>
      </c>
      <c r="G5" s="12" t="s">
        <v>19</v>
      </c>
      <c r="H5" s="12" t="s">
        <v>37</v>
      </c>
      <c r="I5" s="12" t="s">
        <v>371</v>
      </c>
      <c r="J5" s="53" t="s">
        <v>21</v>
      </c>
      <c r="K5" s="12" t="s">
        <v>372</v>
      </c>
      <c r="L5" s="12" t="s">
        <v>373</v>
      </c>
      <c r="M5" s="12">
        <v>45.784336</v>
      </c>
      <c r="N5" s="12">
        <v>46.25</v>
      </c>
      <c r="O5" s="12" t="s">
        <v>359</v>
      </c>
      <c r="P5" s="30" t="s">
        <v>374</v>
      </c>
    </row>
    <row r="6">
      <c r="A6" s="11">
        <v>43006.0</v>
      </c>
      <c r="B6" s="12" t="s">
        <v>359</v>
      </c>
      <c r="C6" s="12">
        <v>2017.0</v>
      </c>
      <c r="D6" s="52">
        <v>43009.0</v>
      </c>
      <c r="E6" s="12" t="s">
        <v>360</v>
      </c>
      <c r="F6" s="12" t="s">
        <v>361</v>
      </c>
      <c r="G6" s="12" t="s">
        <v>28</v>
      </c>
      <c r="I6" s="12" t="s">
        <v>371</v>
      </c>
      <c r="J6" s="53" t="s">
        <v>21</v>
      </c>
      <c r="K6" s="12" t="s">
        <v>372</v>
      </c>
      <c r="L6" s="12" t="s">
        <v>373</v>
      </c>
      <c r="M6" s="12">
        <v>45.784336</v>
      </c>
      <c r="N6" s="12">
        <v>46.25</v>
      </c>
      <c r="O6" s="12" t="s">
        <v>359</v>
      </c>
      <c r="P6" s="30" t="s">
        <v>374</v>
      </c>
    </row>
    <row r="7">
      <c r="A7" s="34">
        <v>43106.0</v>
      </c>
      <c r="B7" s="12" t="s">
        <v>359</v>
      </c>
      <c r="C7" s="12">
        <v>2018.0</v>
      </c>
      <c r="D7" s="52">
        <v>43106.0</v>
      </c>
      <c r="E7" s="12" t="s">
        <v>360</v>
      </c>
      <c r="F7" s="12" t="s">
        <v>361</v>
      </c>
      <c r="G7" s="12" t="s">
        <v>28</v>
      </c>
      <c r="I7" s="12" t="s">
        <v>130</v>
      </c>
      <c r="J7" s="12" t="s">
        <v>21</v>
      </c>
      <c r="K7" s="12" t="s">
        <v>375</v>
      </c>
      <c r="L7" s="12" t="s">
        <v>376</v>
      </c>
      <c r="M7" s="12">
        <v>43.6656697</v>
      </c>
      <c r="N7" s="12">
        <v>43.354036</v>
      </c>
      <c r="O7" s="12" t="s">
        <v>359</v>
      </c>
      <c r="P7" s="13" t="s">
        <v>377</v>
      </c>
      <c r="Q7" s="12" t="s">
        <v>378</v>
      </c>
    </row>
    <row r="8">
      <c r="A8" s="11">
        <v>43134.0</v>
      </c>
      <c r="B8" s="12" t="s">
        <v>359</v>
      </c>
      <c r="C8" s="12">
        <v>2018.0</v>
      </c>
      <c r="D8" s="52">
        <v>43134.0</v>
      </c>
      <c r="E8" s="12" t="s">
        <v>360</v>
      </c>
      <c r="F8" s="12" t="s">
        <v>141</v>
      </c>
      <c r="G8" s="12" t="s">
        <v>19</v>
      </c>
      <c r="I8" s="12" t="s">
        <v>130</v>
      </c>
      <c r="J8" s="12" t="s">
        <v>21</v>
      </c>
      <c r="K8" s="12" t="s">
        <v>375</v>
      </c>
      <c r="L8" s="12" t="s">
        <v>376</v>
      </c>
      <c r="M8" s="12">
        <v>43.6656697</v>
      </c>
      <c r="N8" s="12">
        <v>43.354036</v>
      </c>
      <c r="O8" s="12" t="s">
        <v>359</v>
      </c>
      <c r="P8" s="13" t="s">
        <v>379</v>
      </c>
      <c r="Q8" s="12" t="s">
        <v>380</v>
      </c>
    </row>
    <row r="9">
      <c r="A9" s="11">
        <v>43224.0</v>
      </c>
      <c r="B9" s="12" t="s">
        <v>359</v>
      </c>
      <c r="C9" s="12">
        <v>2018.0</v>
      </c>
      <c r="D9" s="52">
        <v>43224.0</v>
      </c>
      <c r="E9" s="12" t="s">
        <v>360</v>
      </c>
      <c r="F9" s="12" t="s">
        <v>361</v>
      </c>
      <c r="G9" s="12" t="s">
        <v>28</v>
      </c>
      <c r="I9" s="12" t="s">
        <v>130</v>
      </c>
      <c r="J9" s="12" t="s">
        <v>21</v>
      </c>
      <c r="K9" s="12" t="s">
        <v>381</v>
      </c>
      <c r="M9" s="12">
        <v>43.3065139</v>
      </c>
      <c r="N9" s="12">
        <v>43.6656697</v>
      </c>
      <c r="O9" s="12" t="s">
        <v>359</v>
      </c>
      <c r="P9" s="13" t="s">
        <v>382</v>
      </c>
      <c r="Q9" s="12" t="s">
        <v>383</v>
      </c>
    </row>
    <row r="10">
      <c r="A10" s="11">
        <v>43239.0</v>
      </c>
      <c r="B10" s="12" t="s">
        <v>359</v>
      </c>
      <c r="C10" s="12">
        <v>2018.0</v>
      </c>
      <c r="D10" s="52">
        <v>43239.0</v>
      </c>
      <c r="E10" s="12" t="s">
        <v>360</v>
      </c>
      <c r="F10" s="12" t="s">
        <v>361</v>
      </c>
      <c r="G10" s="12" t="s">
        <v>28</v>
      </c>
      <c r="I10" s="12" t="s">
        <v>130</v>
      </c>
      <c r="J10" s="12" t="s">
        <v>21</v>
      </c>
      <c r="K10" s="12" t="s">
        <v>384</v>
      </c>
      <c r="M10" s="12">
        <v>44.308492</v>
      </c>
      <c r="N10" s="12">
        <v>45.0567872</v>
      </c>
      <c r="O10" s="12" t="s">
        <v>359</v>
      </c>
      <c r="P10" s="13" t="s">
        <v>385</v>
      </c>
      <c r="Q10" s="12" t="s">
        <v>386</v>
      </c>
    </row>
    <row r="11">
      <c r="A11" s="11">
        <v>43244.0</v>
      </c>
      <c r="B11" s="12" t="s">
        <v>359</v>
      </c>
      <c r="C11" s="12">
        <v>2018.0</v>
      </c>
      <c r="D11" s="52">
        <v>43244.0</v>
      </c>
      <c r="E11" s="12" t="s">
        <v>360</v>
      </c>
      <c r="F11" s="12" t="s">
        <v>361</v>
      </c>
      <c r="G11" s="12" t="s">
        <v>28</v>
      </c>
      <c r="I11" s="12" t="s">
        <v>130</v>
      </c>
      <c r="J11" s="12" t="s">
        <v>21</v>
      </c>
      <c r="K11" s="12" t="s">
        <v>387</v>
      </c>
      <c r="M11" s="12">
        <v>43.672111</v>
      </c>
      <c r="N11" s="12">
        <v>44.308492</v>
      </c>
      <c r="O11" s="12" t="s">
        <v>359</v>
      </c>
      <c r="P11" s="13" t="s">
        <v>388</v>
      </c>
      <c r="Q11" s="12" t="s">
        <v>389</v>
      </c>
    </row>
    <row r="12">
      <c r="A12" s="11">
        <v>43266.0</v>
      </c>
      <c r="B12" s="12" t="s">
        <v>359</v>
      </c>
      <c r="C12" s="12">
        <v>2018.0</v>
      </c>
      <c r="D12" s="52">
        <v>43266.0</v>
      </c>
      <c r="E12" s="12" t="s">
        <v>360</v>
      </c>
      <c r="F12" s="12" t="s">
        <v>361</v>
      </c>
      <c r="G12" s="12" t="s">
        <v>19</v>
      </c>
      <c r="I12" s="12" t="s">
        <v>130</v>
      </c>
      <c r="J12" s="12" t="s">
        <v>21</v>
      </c>
      <c r="K12" s="12" t="s">
        <v>390</v>
      </c>
      <c r="L12" s="12" t="s">
        <v>376</v>
      </c>
      <c r="M12" s="12">
        <v>43.672111</v>
      </c>
      <c r="N12" s="12">
        <v>45.0567872</v>
      </c>
      <c r="O12" s="12" t="s">
        <v>359</v>
      </c>
      <c r="P12" s="13" t="s">
        <v>391</v>
      </c>
      <c r="Q12" s="12" t="s">
        <v>392</v>
      </c>
    </row>
    <row r="13">
      <c r="A13" s="11">
        <v>43281.0</v>
      </c>
      <c r="B13" s="12" t="s">
        <v>359</v>
      </c>
      <c r="C13" s="12">
        <v>2018.0</v>
      </c>
      <c r="D13" s="52">
        <v>43281.0</v>
      </c>
      <c r="E13" s="12" t="s">
        <v>360</v>
      </c>
      <c r="F13" s="12" t="s">
        <v>361</v>
      </c>
      <c r="G13" s="12" t="s">
        <v>28</v>
      </c>
      <c r="I13" s="12" t="s">
        <v>130</v>
      </c>
      <c r="J13" s="12" t="s">
        <v>21</v>
      </c>
      <c r="K13" s="12" t="s">
        <v>393</v>
      </c>
      <c r="L13" s="12" t="s">
        <v>376</v>
      </c>
      <c r="M13" s="12">
        <v>44.2870792</v>
      </c>
      <c r="N13" s="12">
        <v>46.25</v>
      </c>
      <c r="O13" s="12" t="s">
        <v>359</v>
      </c>
      <c r="P13" s="30" t="s">
        <v>394</v>
      </c>
      <c r="Q13" s="12" t="s">
        <v>395</v>
      </c>
    </row>
    <row r="14">
      <c r="A14" s="11">
        <v>43297.0</v>
      </c>
      <c r="B14" s="12" t="s">
        <v>359</v>
      </c>
      <c r="C14" s="12">
        <v>2018.0</v>
      </c>
      <c r="D14" s="52">
        <v>43296.0</v>
      </c>
      <c r="E14" s="12" t="s">
        <v>360</v>
      </c>
      <c r="F14" s="12" t="s">
        <v>361</v>
      </c>
      <c r="G14" s="12" t="s">
        <v>19</v>
      </c>
      <c r="I14" s="12" t="s">
        <v>396</v>
      </c>
      <c r="J14" s="12" t="s">
        <v>21</v>
      </c>
      <c r="K14" s="12" t="s">
        <v>397</v>
      </c>
      <c r="L14" s="54" t="s">
        <v>376</v>
      </c>
      <c r="M14" s="5">
        <v>45.9414945</v>
      </c>
      <c r="N14" s="12">
        <v>46.25</v>
      </c>
      <c r="O14" s="12" t="s">
        <v>359</v>
      </c>
      <c r="P14" s="13" t="s">
        <v>398</v>
      </c>
      <c r="Q14" s="12" t="s">
        <v>399</v>
      </c>
    </row>
    <row r="15">
      <c r="A15" s="11">
        <v>43301.0</v>
      </c>
      <c r="B15" s="12" t="s">
        <v>359</v>
      </c>
      <c r="C15" s="12">
        <v>2018.0</v>
      </c>
      <c r="D15" s="52">
        <v>43301.0</v>
      </c>
      <c r="E15" s="12" t="s">
        <v>360</v>
      </c>
      <c r="F15" s="12" t="s">
        <v>141</v>
      </c>
      <c r="G15" s="12" t="s">
        <v>28</v>
      </c>
      <c r="I15" s="12" t="s">
        <v>130</v>
      </c>
      <c r="J15" s="12" t="s">
        <v>21</v>
      </c>
      <c r="K15" s="12" t="s">
        <v>400</v>
      </c>
      <c r="M15" s="12">
        <v>43.3065139</v>
      </c>
      <c r="N15" s="5">
        <v>45.9414945</v>
      </c>
      <c r="O15" s="12" t="s">
        <v>359</v>
      </c>
      <c r="P15" s="13" t="s">
        <v>401</v>
      </c>
      <c r="Q15" s="12" t="s">
        <v>402</v>
      </c>
    </row>
    <row r="16">
      <c r="A16" s="11">
        <v>43315.0</v>
      </c>
      <c r="B16" s="12" t="s">
        <v>359</v>
      </c>
      <c r="C16" s="12">
        <v>2018.0</v>
      </c>
      <c r="D16" s="52">
        <v>43315.0</v>
      </c>
      <c r="E16" s="12" t="s">
        <v>360</v>
      </c>
      <c r="F16" s="12" t="s">
        <v>141</v>
      </c>
      <c r="G16" s="12" t="s">
        <v>28</v>
      </c>
      <c r="I16" s="12" t="s">
        <v>130</v>
      </c>
      <c r="J16" s="12" t="s">
        <v>21</v>
      </c>
      <c r="K16" s="12" t="s">
        <v>403</v>
      </c>
      <c r="M16" s="12">
        <v>43.123105</v>
      </c>
      <c r="N16" s="5">
        <v>45.9414945</v>
      </c>
      <c r="O16" s="12" t="s">
        <v>359</v>
      </c>
      <c r="P16" s="13" t="s">
        <v>404</v>
      </c>
      <c r="Q16" s="12" t="s">
        <v>405</v>
      </c>
    </row>
    <row r="17">
      <c r="A17" s="11">
        <v>43357.0</v>
      </c>
      <c r="B17" s="12" t="s">
        <v>359</v>
      </c>
      <c r="C17" s="12">
        <v>2018.0</v>
      </c>
      <c r="D17" s="52">
        <v>43357.0</v>
      </c>
      <c r="E17" s="12" t="s">
        <v>360</v>
      </c>
      <c r="F17" s="12" t="s">
        <v>141</v>
      </c>
      <c r="G17" s="12" t="s">
        <v>19</v>
      </c>
      <c r="I17" s="12" t="s">
        <v>130</v>
      </c>
      <c r="J17" s="12" t="s">
        <v>21</v>
      </c>
      <c r="K17" s="12" t="s">
        <v>406</v>
      </c>
      <c r="M17" s="12">
        <v>42.0</v>
      </c>
      <c r="N17" s="12">
        <v>43.6656697</v>
      </c>
      <c r="O17" s="12" t="s">
        <v>359</v>
      </c>
      <c r="P17" s="13" t="s">
        <v>407</v>
      </c>
      <c r="Q17" s="12" t="s">
        <v>408</v>
      </c>
    </row>
    <row r="18">
      <c r="A18" s="11">
        <v>43525.0</v>
      </c>
      <c r="B18" s="12" t="s">
        <v>359</v>
      </c>
      <c r="C18" s="12">
        <v>2019.0</v>
      </c>
      <c r="D18" s="52">
        <v>43525.0</v>
      </c>
      <c r="E18" s="12" t="s">
        <v>360</v>
      </c>
      <c r="F18" s="12" t="s">
        <v>141</v>
      </c>
      <c r="G18" s="12" t="s">
        <v>28</v>
      </c>
      <c r="I18" s="12" t="s">
        <v>396</v>
      </c>
      <c r="J18" s="12" t="s">
        <v>21</v>
      </c>
      <c r="K18" s="12" t="s">
        <v>397</v>
      </c>
      <c r="L18" s="12" t="s">
        <v>376</v>
      </c>
      <c r="M18" s="5">
        <v>45.9414945</v>
      </c>
      <c r="N18" s="12">
        <v>46.25</v>
      </c>
      <c r="O18" s="12" t="s">
        <v>359</v>
      </c>
      <c r="P18" s="13" t="s">
        <v>409</v>
      </c>
      <c r="Q18" s="12" t="s">
        <v>410</v>
      </c>
    </row>
    <row r="19">
      <c r="A19" s="11">
        <v>43525.0</v>
      </c>
      <c r="B19" s="12" t="s">
        <v>359</v>
      </c>
      <c r="C19" s="12">
        <v>2019.0</v>
      </c>
      <c r="D19" s="52">
        <v>43525.0</v>
      </c>
      <c r="E19" s="12" t="s">
        <v>360</v>
      </c>
      <c r="F19" s="12" t="s">
        <v>141</v>
      </c>
      <c r="G19" s="12" t="s">
        <v>28</v>
      </c>
      <c r="H19" s="12" t="s">
        <v>37</v>
      </c>
      <c r="I19" s="12" t="s">
        <v>130</v>
      </c>
      <c r="J19" s="12" t="s">
        <v>21</v>
      </c>
      <c r="K19" s="12" t="s">
        <v>411</v>
      </c>
      <c r="M19" s="12">
        <v>42.837608</v>
      </c>
      <c r="N19" s="12">
        <v>43.6656697</v>
      </c>
      <c r="O19" s="12" t="s">
        <v>359</v>
      </c>
      <c r="P19" s="13" t="s">
        <v>409</v>
      </c>
      <c r="Q19" s="12" t="s">
        <v>412</v>
      </c>
    </row>
    <row r="20">
      <c r="A20" s="11">
        <v>43533.0</v>
      </c>
      <c r="B20" s="12" t="s">
        <v>359</v>
      </c>
      <c r="C20" s="12">
        <v>2019.0</v>
      </c>
      <c r="D20" s="52">
        <v>43532.0</v>
      </c>
      <c r="E20" s="12" t="s">
        <v>360</v>
      </c>
      <c r="F20" s="12" t="s">
        <v>361</v>
      </c>
      <c r="G20" s="12" t="s">
        <v>19</v>
      </c>
      <c r="I20" s="12" t="s">
        <v>130</v>
      </c>
      <c r="J20" s="12" t="s">
        <v>21</v>
      </c>
      <c r="K20" s="12" t="s">
        <v>397</v>
      </c>
      <c r="M20" s="5">
        <v>45.9414945</v>
      </c>
      <c r="N20" s="12">
        <v>46.25</v>
      </c>
      <c r="O20" s="12" t="s">
        <v>359</v>
      </c>
      <c r="P20" s="13" t="s">
        <v>413</v>
      </c>
      <c r="Q20" s="12" t="s">
        <v>414</v>
      </c>
    </row>
    <row r="21">
      <c r="A21" s="11">
        <v>43568.0</v>
      </c>
      <c r="B21" s="12" t="s">
        <v>359</v>
      </c>
      <c r="C21" s="12">
        <v>2019.0</v>
      </c>
      <c r="D21" s="52">
        <v>43568.0</v>
      </c>
      <c r="E21" s="12" t="s">
        <v>360</v>
      </c>
      <c r="F21" s="12" t="s">
        <v>141</v>
      </c>
      <c r="G21" s="12" t="s">
        <v>28</v>
      </c>
      <c r="I21" s="12" t="s">
        <v>130</v>
      </c>
      <c r="J21" s="12" t="s">
        <v>21</v>
      </c>
      <c r="K21" s="12" t="s">
        <v>397</v>
      </c>
      <c r="M21" s="5">
        <v>45.9414945</v>
      </c>
      <c r="N21" s="12">
        <v>46.25</v>
      </c>
      <c r="O21" s="12" t="s">
        <v>359</v>
      </c>
      <c r="P21" s="30" t="s">
        <v>415</v>
      </c>
      <c r="Q21" s="12" t="s">
        <v>416</v>
      </c>
    </row>
    <row r="22">
      <c r="A22" s="11">
        <v>43623.0</v>
      </c>
      <c r="B22" s="12" t="s">
        <v>16</v>
      </c>
      <c r="C22" s="12">
        <v>2019.0</v>
      </c>
      <c r="D22" s="52">
        <v>43623.0</v>
      </c>
      <c r="E22" s="12" t="s">
        <v>360</v>
      </c>
      <c r="F22" s="12" t="s">
        <v>361</v>
      </c>
      <c r="G22" s="12" t="s">
        <v>19</v>
      </c>
      <c r="I22" s="12" t="s">
        <v>130</v>
      </c>
      <c r="J22" s="12" t="s">
        <v>21</v>
      </c>
      <c r="K22" s="12" t="s">
        <v>417</v>
      </c>
      <c r="M22" s="12">
        <v>42.837608</v>
      </c>
      <c r="N22" s="12">
        <v>44.017114</v>
      </c>
      <c r="O22" s="12" t="s">
        <v>16</v>
      </c>
      <c r="P22" s="13" t="s">
        <v>418</v>
      </c>
      <c r="Q22" s="12" t="s">
        <v>419</v>
      </c>
    </row>
    <row r="23">
      <c r="A23" s="11">
        <v>43889.0</v>
      </c>
      <c r="B23" s="12" t="s">
        <v>359</v>
      </c>
      <c r="C23" s="12">
        <v>2020.0</v>
      </c>
      <c r="D23" s="52">
        <v>43889.0</v>
      </c>
      <c r="E23" s="12" t="s">
        <v>360</v>
      </c>
      <c r="F23" s="12" t="s">
        <v>141</v>
      </c>
      <c r="G23" s="12" t="s">
        <v>28</v>
      </c>
      <c r="I23" s="12" t="s">
        <v>130</v>
      </c>
      <c r="J23" s="12" t="s">
        <v>21</v>
      </c>
      <c r="K23" s="12" t="s">
        <v>420</v>
      </c>
      <c r="M23" s="12">
        <v>44.017114</v>
      </c>
      <c r="N23" s="12">
        <v>46.25</v>
      </c>
      <c r="O23" s="12" t="s">
        <v>359</v>
      </c>
      <c r="P23" s="30" t="s">
        <v>421</v>
      </c>
      <c r="Q23" s="12" t="s">
        <v>422</v>
      </c>
    </row>
    <row r="24">
      <c r="A24" s="11">
        <v>43906.0</v>
      </c>
      <c r="B24" s="12" t="s">
        <v>359</v>
      </c>
      <c r="C24" s="12">
        <v>2020.0</v>
      </c>
      <c r="D24" s="52">
        <v>43906.0</v>
      </c>
      <c r="E24" s="12" t="s">
        <v>360</v>
      </c>
      <c r="F24" s="12" t="s">
        <v>141</v>
      </c>
      <c r="G24" s="12" t="s">
        <v>19</v>
      </c>
      <c r="I24" s="12" t="s">
        <v>130</v>
      </c>
      <c r="J24" s="12" t="s">
        <v>21</v>
      </c>
      <c r="K24" s="12" t="s">
        <v>423</v>
      </c>
      <c r="L24" s="12" t="s">
        <v>373</v>
      </c>
      <c r="M24" s="12">
        <v>42.0</v>
      </c>
      <c r="N24" s="12">
        <v>45.0567872</v>
      </c>
      <c r="O24" s="12" t="s">
        <v>359</v>
      </c>
      <c r="P24" s="13" t="s">
        <v>424</v>
      </c>
      <c r="Q24" s="12" t="s">
        <v>425</v>
      </c>
    </row>
    <row r="25">
      <c r="A25" s="34">
        <v>43952.0</v>
      </c>
      <c r="B25" s="12" t="s">
        <v>359</v>
      </c>
      <c r="C25" s="12">
        <v>2020.0</v>
      </c>
      <c r="D25" s="52">
        <v>43952.0</v>
      </c>
      <c r="E25" s="12" t="s">
        <v>360</v>
      </c>
      <c r="F25" s="12" t="s">
        <v>141</v>
      </c>
      <c r="G25" s="12" t="s">
        <v>28</v>
      </c>
      <c r="I25" s="12" t="s">
        <v>130</v>
      </c>
      <c r="J25" s="12" t="s">
        <v>21</v>
      </c>
      <c r="K25" s="12" t="s">
        <v>426</v>
      </c>
      <c r="M25" s="12">
        <v>43.3065139</v>
      </c>
      <c r="N25" s="12">
        <v>44.017114</v>
      </c>
      <c r="O25" s="12" t="s">
        <v>359</v>
      </c>
      <c r="P25" s="13" t="s">
        <v>427</v>
      </c>
      <c r="Q25" s="12" t="s">
        <v>428</v>
      </c>
    </row>
    <row r="26">
      <c r="A26" s="55">
        <v>44302.0</v>
      </c>
      <c r="B26" s="12" t="s">
        <v>359</v>
      </c>
      <c r="C26" s="12">
        <v>2021.0</v>
      </c>
      <c r="D26" s="52">
        <v>44302.0</v>
      </c>
      <c r="E26" s="12" t="s">
        <v>360</v>
      </c>
      <c r="F26" s="12" t="s">
        <v>141</v>
      </c>
      <c r="G26" s="12" t="s">
        <v>28</v>
      </c>
      <c r="I26" s="12" t="s">
        <v>130</v>
      </c>
      <c r="J26" s="12" t="s">
        <v>21</v>
      </c>
      <c r="K26" s="12" t="s">
        <v>429</v>
      </c>
      <c r="M26" s="12">
        <v>43.3065139</v>
      </c>
      <c r="N26" s="12">
        <v>43.75123</v>
      </c>
      <c r="O26" s="12" t="s">
        <v>359</v>
      </c>
      <c r="P26" s="30" t="s">
        <v>430</v>
      </c>
      <c r="Q26" s="12" t="s">
        <v>431</v>
      </c>
    </row>
    <row r="27">
      <c r="A27" s="11">
        <v>44316.0</v>
      </c>
      <c r="B27" s="12" t="s">
        <v>359</v>
      </c>
      <c r="C27" s="12">
        <v>2021.0</v>
      </c>
      <c r="D27" s="52">
        <v>44316.0</v>
      </c>
      <c r="E27" s="12" t="s">
        <v>360</v>
      </c>
      <c r="F27" s="12" t="s">
        <v>141</v>
      </c>
      <c r="G27" s="12" t="s">
        <v>28</v>
      </c>
      <c r="I27" s="12" t="s">
        <v>130</v>
      </c>
      <c r="J27" s="12" t="s">
        <v>21</v>
      </c>
      <c r="K27" s="12" t="s">
        <v>432</v>
      </c>
      <c r="M27" s="12">
        <v>42.0</v>
      </c>
      <c r="N27" s="12">
        <v>44.017114</v>
      </c>
      <c r="O27" s="12" t="s">
        <v>359</v>
      </c>
      <c r="P27" s="30" t="s">
        <v>433</v>
      </c>
      <c r="Q27" s="12" t="s">
        <v>434</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6" max="6" width="18.63"/>
    <col customWidth="1" min="11" max="11" width="28.88"/>
  </cols>
  <sheetData>
    <row r="1">
      <c r="A1" s="1" t="s">
        <v>0</v>
      </c>
      <c r="B1" s="1" t="s">
        <v>1</v>
      </c>
      <c r="C1" s="1" t="s">
        <v>2</v>
      </c>
      <c r="D1" s="1" t="s">
        <v>3</v>
      </c>
      <c r="E1" s="1" t="s">
        <v>4</v>
      </c>
      <c r="F1" s="1" t="s">
        <v>5</v>
      </c>
      <c r="G1" s="1" t="s">
        <v>6</v>
      </c>
      <c r="H1" s="2" t="s">
        <v>239</v>
      </c>
      <c r="I1" s="1" t="s">
        <v>8</v>
      </c>
      <c r="J1" s="2" t="s">
        <v>240</v>
      </c>
      <c r="K1" s="1" t="s">
        <v>10</v>
      </c>
      <c r="L1" s="2" t="s">
        <v>241</v>
      </c>
      <c r="M1" s="1" t="s">
        <v>11</v>
      </c>
      <c r="N1" s="1" t="s">
        <v>12</v>
      </c>
      <c r="O1" s="2" t="s">
        <v>13</v>
      </c>
      <c r="P1" s="1" t="s">
        <v>14</v>
      </c>
      <c r="Q1" s="1" t="s">
        <v>15</v>
      </c>
    </row>
    <row r="2">
      <c r="A2" s="11">
        <v>42637.0</v>
      </c>
      <c r="B2" s="12" t="s">
        <v>359</v>
      </c>
      <c r="C2" s="12">
        <v>2016.0</v>
      </c>
      <c r="D2" s="52">
        <v>42637.0</v>
      </c>
      <c r="E2" s="12" t="s">
        <v>435</v>
      </c>
      <c r="F2" s="12" t="s">
        <v>365</v>
      </c>
      <c r="G2" s="12" t="s">
        <v>19</v>
      </c>
      <c r="I2" s="12" t="s">
        <v>130</v>
      </c>
      <c r="J2" s="12" t="s">
        <v>21</v>
      </c>
      <c r="K2" s="12" t="s">
        <v>38</v>
      </c>
      <c r="M2" s="12">
        <v>42.0</v>
      </c>
      <c r="N2" s="12">
        <v>46.25</v>
      </c>
      <c r="O2" s="12" t="s">
        <v>359</v>
      </c>
      <c r="P2" s="13" t="s">
        <v>366</v>
      </c>
    </row>
    <row r="3">
      <c r="A3" s="11">
        <v>42691.0</v>
      </c>
      <c r="B3" s="12" t="s">
        <v>359</v>
      </c>
      <c r="C3" s="12">
        <v>2016.0</v>
      </c>
      <c r="D3" s="56">
        <v>42691.0</v>
      </c>
      <c r="E3" s="12" t="s">
        <v>435</v>
      </c>
      <c r="F3" s="12" t="s">
        <v>49</v>
      </c>
      <c r="G3" s="12" t="s">
        <v>28</v>
      </c>
      <c r="I3" s="12" t="s">
        <v>130</v>
      </c>
      <c r="J3" s="12" t="s">
        <v>21</v>
      </c>
      <c r="K3" s="12" t="s">
        <v>436</v>
      </c>
      <c r="M3" s="12">
        <v>42.0</v>
      </c>
      <c r="N3" s="12">
        <v>44.1387467</v>
      </c>
      <c r="O3" s="12" t="s">
        <v>359</v>
      </c>
      <c r="P3" s="30" t="s">
        <v>437</v>
      </c>
      <c r="Q3" s="12" t="s">
        <v>438</v>
      </c>
    </row>
    <row r="4">
      <c r="A4" s="11">
        <v>42695.0</v>
      </c>
      <c r="B4" s="12" t="s">
        <v>359</v>
      </c>
      <c r="C4" s="12">
        <v>2016.0</v>
      </c>
      <c r="D4" s="56">
        <v>42695.0</v>
      </c>
      <c r="E4" s="12" t="s">
        <v>435</v>
      </c>
      <c r="F4" s="12" t="s">
        <v>365</v>
      </c>
      <c r="G4" s="12" t="s">
        <v>28</v>
      </c>
      <c r="I4" s="12" t="s">
        <v>130</v>
      </c>
      <c r="J4" s="12" t="s">
        <v>21</v>
      </c>
      <c r="K4" s="12" t="s">
        <v>439</v>
      </c>
      <c r="M4" s="12">
        <v>44.1387467</v>
      </c>
      <c r="N4" s="12">
        <v>46.25</v>
      </c>
      <c r="O4" s="12" t="s">
        <v>359</v>
      </c>
      <c r="P4" s="30" t="s">
        <v>440</v>
      </c>
      <c r="Q4" s="12" t="s">
        <v>441</v>
      </c>
    </row>
    <row r="5">
      <c r="A5" s="32">
        <v>42783.0</v>
      </c>
      <c r="B5" s="12" t="s">
        <v>359</v>
      </c>
      <c r="C5" s="12">
        <v>2017.0</v>
      </c>
      <c r="D5" s="52">
        <v>42783.0</v>
      </c>
      <c r="E5" s="12" t="s">
        <v>435</v>
      </c>
      <c r="F5" s="12" t="s">
        <v>49</v>
      </c>
      <c r="G5" s="12" t="s">
        <v>19</v>
      </c>
      <c r="I5" s="12" t="s">
        <v>442</v>
      </c>
      <c r="J5" s="12" t="s">
        <v>21</v>
      </c>
      <c r="K5" s="12" t="s">
        <v>443</v>
      </c>
      <c r="L5" s="12" t="s">
        <v>262</v>
      </c>
      <c r="M5" s="12">
        <v>42.0</v>
      </c>
      <c r="N5" s="12">
        <v>43.3065139</v>
      </c>
      <c r="O5" s="12" t="s">
        <v>359</v>
      </c>
      <c r="P5" s="13" t="s">
        <v>444</v>
      </c>
      <c r="Q5" s="12" t="s">
        <v>445</v>
      </c>
    </row>
    <row r="6">
      <c r="A6" s="32">
        <v>42811.0</v>
      </c>
      <c r="B6" s="12" t="s">
        <v>359</v>
      </c>
      <c r="C6" s="12">
        <v>2017.0</v>
      </c>
      <c r="D6" s="52">
        <v>42811.0</v>
      </c>
      <c r="E6" s="12" t="s">
        <v>435</v>
      </c>
      <c r="F6" s="12" t="s">
        <v>49</v>
      </c>
      <c r="G6" s="12" t="s">
        <v>28</v>
      </c>
      <c r="I6" s="12" t="s">
        <v>442</v>
      </c>
      <c r="J6" s="12" t="s">
        <v>21</v>
      </c>
      <c r="K6" s="12" t="s">
        <v>443</v>
      </c>
      <c r="L6" s="12" t="s">
        <v>262</v>
      </c>
      <c r="M6" s="12">
        <v>42.0</v>
      </c>
      <c r="N6" s="12">
        <v>43.3065139</v>
      </c>
      <c r="O6" s="12" t="s">
        <v>359</v>
      </c>
      <c r="P6" s="13" t="s">
        <v>446</v>
      </c>
      <c r="Q6" s="12" t="s">
        <v>447</v>
      </c>
    </row>
    <row r="7">
      <c r="A7" s="11">
        <v>42930.0</v>
      </c>
      <c r="B7" s="12" t="s">
        <v>359</v>
      </c>
      <c r="C7" s="12">
        <v>2017.0</v>
      </c>
      <c r="D7" s="52">
        <v>42930.0</v>
      </c>
      <c r="E7" s="12" t="s">
        <v>435</v>
      </c>
      <c r="F7" s="12" t="s">
        <v>49</v>
      </c>
      <c r="G7" s="12" t="s">
        <v>19</v>
      </c>
      <c r="I7" s="12" t="s">
        <v>442</v>
      </c>
      <c r="J7" s="12" t="s">
        <v>21</v>
      </c>
      <c r="K7" s="12" t="s">
        <v>368</v>
      </c>
      <c r="L7" s="12" t="s">
        <v>262</v>
      </c>
      <c r="M7" s="12">
        <v>45.0567872</v>
      </c>
      <c r="N7" s="5">
        <v>45.9414945</v>
      </c>
      <c r="O7" s="12" t="s">
        <v>359</v>
      </c>
      <c r="P7" s="30" t="s">
        <v>448</v>
      </c>
      <c r="Q7" s="12" t="s">
        <v>449</v>
      </c>
    </row>
    <row r="8">
      <c r="A8" s="11">
        <v>42972.0</v>
      </c>
      <c r="B8" s="12" t="s">
        <v>359</v>
      </c>
      <c r="C8" s="12">
        <v>2017.0</v>
      </c>
      <c r="D8" s="52">
        <v>42972.0</v>
      </c>
      <c r="E8" s="12" t="s">
        <v>435</v>
      </c>
      <c r="F8" s="12" t="s">
        <v>49</v>
      </c>
      <c r="G8" s="12" t="s">
        <v>28</v>
      </c>
      <c r="I8" s="12" t="s">
        <v>442</v>
      </c>
      <c r="J8" s="12" t="s">
        <v>21</v>
      </c>
      <c r="K8" s="12" t="s">
        <v>368</v>
      </c>
      <c r="L8" s="12" t="s">
        <v>262</v>
      </c>
      <c r="M8" s="12">
        <v>45.0567872</v>
      </c>
      <c r="N8" s="5">
        <v>45.9414945</v>
      </c>
      <c r="O8" s="12" t="s">
        <v>359</v>
      </c>
      <c r="P8" s="13" t="s">
        <v>450</v>
      </c>
      <c r="Q8" s="12" t="s">
        <v>451</v>
      </c>
    </row>
    <row r="9">
      <c r="A9" s="11">
        <v>43021.0</v>
      </c>
      <c r="B9" s="12" t="s">
        <v>359</v>
      </c>
      <c r="C9" s="12">
        <v>2017.0</v>
      </c>
      <c r="D9" s="56">
        <v>43021.0</v>
      </c>
      <c r="E9" s="12" t="s">
        <v>435</v>
      </c>
      <c r="F9" s="12" t="s">
        <v>49</v>
      </c>
      <c r="G9" s="12" t="s">
        <v>19</v>
      </c>
      <c r="I9" s="12" t="s">
        <v>442</v>
      </c>
      <c r="J9" s="12" t="s">
        <v>21</v>
      </c>
      <c r="K9" s="12" t="s">
        <v>452</v>
      </c>
      <c r="L9" s="12" t="s">
        <v>262</v>
      </c>
      <c r="M9" s="12">
        <v>44.611885</v>
      </c>
      <c r="N9" s="12">
        <v>46.25</v>
      </c>
      <c r="O9" s="12" t="s">
        <v>359</v>
      </c>
      <c r="P9" s="30" t="s">
        <v>453</v>
      </c>
      <c r="Q9" s="12" t="s">
        <v>454</v>
      </c>
    </row>
    <row r="10">
      <c r="A10" s="11">
        <v>43048.0</v>
      </c>
      <c r="B10" s="12" t="s">
        <v>359</v>
      </c>
      <c r="C10" s="12">
        <v>2017.0</v>
      </c>
      <c r="D10" s="56">
        <v>43048.0</v>
      </c>
      <c r="E10" s="12" t="s">
        <v>435</v>
      </c>
      <c r="F10" s="12" t="s">
        <v>49</v>
      </c>
      <c r="G10" s="12" t="s">
        <v>28</v>
      </c>
      <c r="I10" s="12" t="s">
        <v>442</v>
      </c>
      <c r="J10" s="12" t="s">
        <v>21</v>
      </c>
      <c r="K10" s="12" t="s">
        <v>452</v>
      </c>
      <c r="L10" s="12" t="s">
        <v>262</v>
      </c>
      <c r="M10" s="12">
        <v>44.611885</v>
      </c>
      <c r="N10" s="12">
        <v>46.25</v>
      </c>
      <c r="O10" s="12" t="s">
        <v>359</v>
      </c>
      <c r="P10" s="30" t="s">
        <v>455</v>
      </c>
      <c r="Q10" s="12" t="s">
        <v>451</v>
      </c>
    </row>
    <row r="11">
      <c r="A11" s="11">
        <v>43343.0</v>
      </c>
      <c r="B11" s="12" t="s">
        <v>359</v>
      </c>
      <c r="C11" s="12">
        <v>2018.0</v>
      </c>
      <c r="D11" s="52">
        <v>43343.0</v>
      </c>
      <c r="E11" s="12" t="s">
        <v>435</v>
      </c>
      <c r="F11" s="12" t="s">
        <v>141</v>
      </c>
      <c r="G11" s="12" t="s">
        <v>19</v>
      </c>
      <c r="I11" s="12" t="s">
        <v>130</v>
      </c>
      <c r="J11" s="12" t="s">
        <v>21</v>
      </c>
      <c r="K11" s="12" t="s">
        <v>456</v>
      </c>
      <c r="M11" s="12">
        <v>42.0</v>
      </c>
      <c r="N11" s="12">
        <v>43.1116505</v>
      </c>
      <c r="O11" s="12" t="s">
        <v>359</v>
      </c>
      <c r="P11" s="13" t="s">
        <v>457</v>
      </c>
      <c r="Q11" s="12" t="s">
        <v>458</v>
      </c>
    </row>
    <row r="12">
      <c r="A12" s="11">
        <v>43371.0</v>
      </c>
      <c r="B12" s="12" t="s">
        <v>359</v>
      </c>
      <c r="C12" s="12">
        <v>2018.0</v>
      </c>
      <c r="D12" s="52">
        <v>43371.0</v>
      </c>
      <c r="E12" s="12" t="s">
        <v>435</v>
      </c>
      <c r="F12" s="12" t="s">
        <v>141</v>
      </c>
      <c r="G12" s="12" t="s">
        <v>28</v>
      </c>
      <c r="I12" s="12" t="s">
        <v>130</v>
      </c>
      <c r="J12" s="12" t="s">
        <v>21</v>
      </c>
      <c r="K12" s="12" t="s">
        <v>459</v>
      </c>
      <c r="M12" s="12">
        <v>42.0</v>
      </c>
      <c r="N12" s="12">
        <v>43.1116505</v>
      </c>
      <c r="O12" s="12" t="s">
        <v>359</v>
      </c>
      <c r="P12" s="13" t="s">
        <v>460</v>
      </c>
      <c r="Q12" s="57" t="s">
        <v>461</v>
      </c>
    </row>
    <row r="13">
      <c r="A13" s="11">
        <v>43839.0</v>
      </c>
      <c r="B13" s="12" t="s">
        <v>359</v>
      </c>
      <c r="C13" s="12">
        <v>2019.0</v>
      </c>
      <c r="D13" s="52">
        <v>43839.0</v>
      </c>
      <c r="E13" s="12" t="s">
        <v>435</v>
      </c>
      <c r="F13" s="12" t="s">
        <v>141</v>
      </c>
      <c r="G13" s="12" t="s">
        <v>28</v>
      </c>
      <c r="I13" s="12" t="s">
        <v>462</v>
      </c>
      <c r="J13" s="12" t="s">
        <v>21</v>
      </c>
      <c r="K13" s="12" t="s">
        <v>38</v>
      </c>
      <c r="M13" s="12">
        <v>42.0</v>
      </c>
      <c r="N13" s="12">
        <v>46.25</v>
      </c>
      <c r="O13" s="12" t="s">
        <v>359</v>
      </c>
      <c r="P13" s="30" t="s">
        <v>463</v>
      </c>
      <c r="Q13" s="12" t="s">
        <v>464</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5" max="5" width="13.5"/>
    <col customWidth="1" min="9" max="9" width="33.25"/>
    <col customWidth="1" min="11" max="11" width="36.25"/>
    <col customWidth="1" min="12" max="12" width="19.13"/>
  </cols>
  <sheetData>
    <row r="1">
      <c r="A1" s="1" t="s">
        <v>0</v>
      </c>
      <c r="B1" s="1" t="s">
        <v>1</v>
      </c>
      <c r="C1" s="1" t="s">
        <v>2</v>
      </c>
      <c r="D1" s="1" t="s">
        <v>3</v>
      </c>
      <c r="E1" s="1" t="s">
        <v>4</v>
      </c>
      <c r="F1" s="1" t="s">
        <v>5</v>
      </c>
      <c r="G1" s="1" t="s">
        <v>6</v>
      </c>
      <c r="H1" s="2" t="s">
        <v>239</v>
      </c>
      <c r="I1" s="1" t="s">
        <v>8</v>
      </c>
      <c r="J1" s="2" t="s">
        <v>240</v>
      </c>
      <c r="K1" s="1" t="s">
        <v>10</v>
      </c>
      <c r="L1" s="2" t="s">
        <v>241</v>
      </c>
      <c r="M1" s="1" t="s">
        <v>11</v>
      </c>
      <c r="N1" s="1" t="s">
        <v>12</v>
      </c>
      <c r="O1" s="2" t="s">
        <v>13</v>
      </c>
      <c r="P1" s="1" t="s">
        <v>14</v>
      </c>
      <c r="Q1" s="1" t="s">
        <v>15</v>
      </c>
    </row>
    <row r="2">
      <c r="A2" s="11">
        <v>42693.0</v>
      </c>
      <c r="B2" s="12" t="s">
        <v>359</v>
      </c>
      <c r="C2" s="12">
        <v>2016.0</v>
      </c>
      <c r="D2" s="56">
        <v>42693.0</v>
      </c>
      <c r="E2" s="12" t="s">
        <v>247</v>
      </c>
      <c r="F2" s="12" t="s">
        <v>49</v>
      </c>
      <c r="G2" s="12" t="s">
        <v>19</v>
      </c>
      <c r="I2" s="12" t="s">
        <v>130</v>
      </c>
      <c r="J2" s="12" t="s">
        <v>21</v>
      </c>
      <c r="K2" s="12" t="s">
        <v>263</v>
      </c>
      <c r="L2" s="12" t="s">
        <v>262</v>
      </c>
      <c r="M2" s="12">
        <v>42.0</v>
      </c>
      <c r="N2" s="5">
        <v>45.9414945</v>
      </c>
      <c r="O2" s="12" t="s">
        <v>359</v>
      </c>
      <c r="P2" s="13" t="s">
        <v>465</v>
      </c>
    </row>
    <row r="3">
      <c r="A3" s="11"/>
      <c r="B3" s="12" t="s">
        <v>102</v>
      </c>
      <c r="C3" s="12">
        <v>2016.0</v>
      </c>
      <c r="D3" s="56">
        <v>42705.0</v>
      </c>
      <c r="E3" s="12" t="s">
        <v>17</v>
      </c>
      <c r="F3" s="12" t="s">
        <v>18</v>
      </c>
      <c r="G3" s="12" t="s">
        <v>19</v>
      </c>
      <c r="H3" s="12" t="s">
        <v>37</v>
      </c>
      <c r="I3" s="12" t="s">
        <v>130</v>
      </c>
      <c r="J3" s="12" t="s">
        <v>21</v>
      </c>
      <c r="K3" s="12" t="s">
        <v>38</v>
      </c>
      <c r="M3" s="12">
        <v>42.0</v>
      </c>
      <c r="N3" s="12">
        <v>46.25</v>
      </c>
      <c r="O3" s="12" t="s">
        <v>359</v>
      </c>
      <c r="P3" s="30" t="s">
        <v>466</v>
      </c>
      <c r="Q3" s="12" t="s">
        <v>467</v>
      </c>
    </row>
    <row r="4">
      <c r="A4" s="11">
        <v>42714.0</v>
      </c>
      <c r="B4" s="12" t="s">
        <v>359</v>
      </c>
      <c r="C4" s="12">
        <v>2016.0</v>
      </c>
      <c r="D4" s="56">
        <v>42722.0</v>
      </c>
      <c r="E4" s="12" t="s">
        <v>17</v>
      </c>
      <c r="F4" s="12" t="s">
        <v>18</v>
      </c>
      <c r="G4" s="12" t="s">
        <v>28</v>
      </c>
      <c r="I4" s="12" t="s">
        <v>130</v>
      </c>
      <c r="J4" s="12" t="s">
        <v>21</v>
      </c>
      <c r="K4" s="12" t="s">
        <v>148</v>
      </c>
      <c r="M4" s="12">
        <v>42.0</v>
      </c>
      <c r="N4" s="12">
        <v>42.837608</v>
      </c>
      <c r="O4" s="12" t="s">
        <v>359</v>
      </c>
      <c r="P4" s="30" t="s">
        <v>466</v>
      </c>
    </row>
    <row r="5">
      <c r="A5" s="11">
        <v>42714.0</v>
      </c>
      <c r="B5" s="12" t="s">
        <v>359</v>
      </c>
      <c r="C5" s="12">
        <v>2016.0</v>
      </c>
      <c r="D5" s="56">
        <v>42722.0</v>
      </c>
      <c r="E5" s="12" t="s">
        <v>247</v>
      </c>
      <c r="F5" s="12" t="s">
        <v>141</v>
      </c>
      <c r="G5" s="12" t="s">
        <v>28</v>
      </c>
      <c r="I5" s="12" t="s">
        <v>130</v>
      </c>
      <c r="J5" s="12" t="s">
        <v>21</v>
      </c>
      <c r="K5" s="12" t="s">
        <v>273</v>
      </c>
      <c r="L5" s="12" t="s">
        <v>262</v>
      </c>
      <c r="M5" s="12">
        <v>45.6382341</v>
      </c>
      <c r="N5" s="5">
        <v>45.9414945</v>
      </c>
      <c r="O5" s="12" t="s">
        <v>359</v>
      </c>
      <c r="P5" s="30" t="s">
        <v>466</v>
      </c>
    </row>
    <row r="6">
      <c r="A6" s="11">
        <v>42721.0</v>
      </c>
      <c r="B6" s="12" t="s">
        <v>359</v>
      </c>
      <c r="C6" s="12">
        <v>2016.0</v>
      </c>
      <c r="D6" s="56">
        <v>42721.0</v>
      </c>
      <c r="E6" s="12" t="s">
        <v>247</v>
      </c>
      <c r="F6" s="12" t="s">
        <v>141</v>
      </c>
      <c r="G6" s="12" t="s">
        <v>28</v>
      </c>
      <c r="I6" s="12" t="s">
        <v>130</v>
      </c>
      <c r="J6" s="12" t="s">
        <v>21</v>
      </c>
      <c r="K6" s="12" t="s">
        <v>468</v>
      </c>
      <c r="L6" s="12" t="s">
        <v>262</v>
      </c>
      <c r="M6" s="12">
        <v>42.0</v>
      </c>
      <c r="N6" s="12">
        <v>43.670962</v>
      </c>
      <c r="O6" s="12" t="s">
        <v>359</v>
      </c>
      <c r="P6" s="30" t="s">
        <v>469</v>
      </c>
    </row>
    <row r="7">
      <c r="A7" s="11">
        <v>42725.0</v>
      </c>
      <c r="B7" s="12" t="s">
        <v>359</v>
      </c>
      <c r="C7" s="12">
        <v>2016.0</v>
      </c>
      <c r="D7" s="56">
        <v>42725.0</v>
      </c>
      <c r="E7" s="12" t="s">
        <v>247</v>
      </c>
      <c r="F7" s="12" t="s">
        <v>141</v>
      </c>
      <c r="G7" s="12" t="s">
        <v>28</v>
      </c>
      <c r="I7" s="12" t="s">
        <v>130</v>
      </c>
      <c r="J7" s="12" t="s">
        <v>21</v>
      </c>
      <c r="K7" s="12" t="s">
        <v>470</v>
      </c>
      <c r="L7" s="12" t="s">
        <v>262</v>
      </c>
      <c r="M7" s="12">
        <v>43.670962</v>
      </c>
      <c r="N7" s="12">
        <v>45.6382341</v>
      </c>
      <c r="O7" s="12" t="s">
        <v>359</v>
      </c>
      <c r="P7" s="13" t="s">
        <v>471</v>
      </c>
      <c r="Q7" s="12" t="s">
        <v>472</v>
      </c>
    </row>
    <row r="8">
      <c r="A8" s="11">
        <v>42727.0</v>
      </c>
      <c r="B8" s="12" t="s">
        <v>359</v>
      </c>
      <c r="C8" s="12">
        <v>2017.0</v>
      </c>
      <c r="D8" s="52">
        <v>42736.0</v>
      </c>
      <c r="E8" s="12" t="s">
        <v>17</v>
      </c>
      <c r="F8" s="12" t="s">
        <v>18</v>
      </c>
      <c r="G8" s="12" t="s">
        <v>28</v>
      </c>
      <c r="I8" s="12" t="s">
        <v>130</v>
      </c>
      <c r="J8" s="12" t="s">
        <v>21</v>
      </c>
      <c r="K8" s="12" t="s">
        <v>150</v>
      </c>
      <c r="M8" s="12">
        <v>42.837608</v>
      </c>
      <c r="N8" s="12">
        <v>46.25</v>
      </c>
      <c r="O8" s="12" t="s">
        <v>359</v>
      </c>
      <c r="P8" s="13" t="s">
        <v>473</v>
      </c>
    </row>
    <row r="9">
      <c r="A9" s="11">
        <v>42768.0</v>
      </c>
      <c r="B9" s="12" t="s">
        <v>359</v>
      </c>
      <c r="C9" s="12">
        <v>2017.0</v>
      </c>
      <c r="D9" s="52">
        <v>42760.0</v>
      </c>
      <c r="E9" s="12" t="s">
        <v>247</v>
      </c>
      <c r="F9" s="12" t="s">
        <v>49</v>
      </c>
      <c r="G9" s="12" t="s">
        <v>19</v>
      </c>
      <c r="I9" s="12" t="s">
        <v>130</v>
      </c>
      <c r="J9" s="12" t="s">
        <v>162</v>
      </c>
      <c r="K9" s="12" t="s">
        <v>474</v>
      </c>
      <c r="M9" s="12">
        <v>43.358911</v>
      </c>
      <c r="N9" s="12">
        <v>44.1387467</v>
      </c>
      <c r="O9" s="12" t="s">
        <v>359</v>
      </c>
      <c r="P9" s="13" t="s">
        <v>475</v>
      </c>
      <c r="Q9" s="12" t="s">
        <v>476</v>
      </c>
    </row>
    <row r="10">
      <c r="A10" s="11">
        <v>42768.0</v>
      </c>
      <c r="B10" s="12" t="s">
        <v>359</v>
      </c>
      <c r="C10" s="12">
        <v>2017.0</v>
      </c>
      <c r="D10" s="52">
        <v>42768.0</v>
      </c>
      <c r="E10" s="12" t="s">
        <v>247</v>
      </c>
      <c r="F10" s="12" t="s">
        <v>49</v>
      </c>
      <c r="G10" s="12" t="s">
        <v>19</v>
      </c>
      <c r="I10" s="12" t="s">
        <v>130</v>
      </c>
      <c r="J10" s="12" t="s">
        <v>21</v>
      </c>
      <c r="K10" s="12" t="s">
        <v>474</v>
      </c>
      <c r="M10" s="12">
        <v>43.358911</v>
      </c>
      <c r="N10" s="12">
        <v>44.1387467</v>
      </c>
      <c r="O10" s="12" t="s">
        <v>359</v>
      </c>
      <c r="P10" s="13" t="s">
        <v>475</v>
      </c>
    </row>
    <row r="11">
      <c r="A11" s="11">
        <v>42776.0</v>
      </c>
      <c r="B11" s="12" t="s">
        <v>359</v>
      </c>
      <c r="C11" s="12">
        <v>2017.0</v>
      </c>
      <c r="D11" s="52">
        <v>42768.0</v>
      </c>
      <c r="E11" s="12" t="s">
        <v>247</v>
      </c>
      <c r="F11" s="12" t="s">
        <v>49</v>
      </c>
      <c r="G11" s="12" t="s">
        <v>28</v>
      </c>
      <c r="I11" s="12" t="s">
        <v>130</v>
      </c>
      <c r="J11" s="12" t="s">
        <v>21</v>
      </c>
      <c r="K11" s="12" t="s">
        <v>474</v>
      </c>
      <c r="M11" s="12">
        <v>43.358911</v>
      </c>
      <c r="N11" s="12">
        <v>44.1387467</v>
      </c>
      <c r="O11" s="12" t="s">
        <v>359</v>
      </c>
      <c r="P11" s="13" t="s">
        <v>477</v>
      </c>
    </row>
    <row r="12">
      <c r="A12" s="11">
        <v>43029.0</v>
      </c>
      <c r="B12" s="12" t="s">
        <v>359</v>
      </c>
      <c r="C12" s="12">
        <v>2017.0</v>
      </c>
      <c r="D12" s="56">
        <v>43029.0</v>
      </c>
      <c r="E12" s="12" t="s">
        <v>247</v>
      </c>
      <c r="F12" s="12" t="s">
        <v>141</v>
      </c>
      <c r="G12" s="12" t="s">
        <v>19</v>
      </c>
      <c r="I12" s="12" t="s">
        <v>130</v>
      </c>
      <c r="J12" s="12" t="s">
        <v>21</v>
      </c>
      <c r="K12" s="12" t="s">
        <v>148</v>
      </c>
      <c r="L12" s="12" t="s">
        <v>248</v>
      </c>
      <c r="M12" s="12">
        <v>42.0</v>
      </c>
      <c r="N12" s="12">
        <v>42.837608</v>
      </c>
      <c r="O12" s="12" t="s">
        <v>359</v>
      </c>
      <c r="P12" s="13" t="s">
        <v>478</v>
      </c>
    </row>
    <row r="13">
      <c r="A13" s="11">
        <v>43031.0</v>
      </c>
      <c r="B13" s="12" t="s">
        <v>359</v>
      </c>
      <c r="C13" s="12">
        <v>2017.0</v>
      </c>
      <c r="D13" s="56">
        <v>43031.0</v>
      </c>
      <c r="E13" s="12" t="s">
        <v>247</v>
      </c>
      <c r="F13" s="12" t="s">
        <v>141</v>
      </c>
      <c r="G13" s="12" t="s">
        <v>19</v>
      </c>
      <c r="I13" s="12" t="s">
        <v>130</v>
      </c>
      <c r="J13" s="12" t="s">
        <v>21</v>
      </c>
      <c r="K13" s="12" t="s">
        <v>479</v>
      </c>
      <c r="L13" s="12" t="s">
        <v>248</v>
      </c>
      <c r="M13" s="12">
        <v>42.837608</v>
      </c>
      <c r="N13" s="12">
        <v>43.124812</v>
      </c>
      <c r="O13" s="12" t="s">
        <v>359</v>
      </c>
      <c r="P13" s="13" t="s">
        <v>480</v>
      </c>
    </row>
    <row r="14">
      <c r="A14" s="11">
        <v>43031.0</v>
      </c>
      <c r="B14" s="12" t="s">
        <v>359</v>
      </c>
      <c r="C14" s="12">
        <v>2017.0</v>
      </c>
      <c r="D14" s="56">
        <v>43031.0</v>
      </c>
      <c r="E14" s="12" t="s">
        <v>247</v>
      </c>
      <c r="F14" s="12" t="s">
        <v>18</v>
      </c>
      <c r="G14" s="12" t="s">
        <v>19</v>
      </c>
      <c r="I14" s="12" t="s">
        <v>130</v>
      </c>
      <c r="J14" s="12" t="s">
        <v>21</v>
      </c>
      <c r="K14" s="12" t="s">
        <v>286</v>
      </c>
      <c r="L14" s="12" t="s">
        <v>248</v>
      </c>
      <c r="M14" s="12">
        <v>42.0</v>
      </c>
      <c r="N14" s="12">
        <v>43.124812</v>
      </c>
      <c r="O14" s="12" t="s">
        <v>359</v>
      </c>
      <c r="P14" s="13" t="s">
        <v>480</v>
      </c>
    </row>
    <row r="15">
      <c r="A15" s="11">
        <v>43040.0</v>
      </c>
      <c r="B15" s="12" t="s">
        <v>359</v>
      </c>
      <c r="C15" s="12">
        <v>2017.0</v>
      </c>
      <c r="D15" s="52">
        <v>43040.0</v>
      </c>
      <c r="E15" s="12" t="s">
        <v>247</v>
      </c>
      <c r="F15" s="12" t="s">
        <v>49</v>
      </c>
      <c r="G15" s="12" t="s">
        <v>19</v>
      </c>
      <c r="I15" s="12" t="s">
        <v>130</v>
      </c>
      <c r="J15" s="12" t="s">
        <v>21</v>
      </c>
      <c r="K15" s="12" t="s">
        <v>481</v>
      </c>
      <c r="L15" s="12" t="s">
        <v>248</v>
      </c>
      <c r="M15" s="12">
        <v>43.124812</v>
      </c>
      <c r="N15" s="12">
        <v>43.358911</v>
      </c>
      <c r="O15" s="12" t="s">
        <v>359</v>
      </c>
      <c r="P15" s="30" t="s">
        <v>482</v>
      </c>
    </row>
    <row r="16">
      <c r="A16" s="11">
        <v>43054.0</v>
      </c>
      <c r="B16" s="12" t="s">
        <v>359</v>
      </c>
      <c r="C16" s="12">
        <v>2017.0</v>
      </c>
      <c r="D16" s="56">
        <v>43054.0</v>
      </c>
      <c r="E16" s="12" t="s">
        <v>247</v>
      </c>
      <c r="F16" s="12" t="s">
        <v>49</v>
      </c>
      <c r="G16" s="12" t="s">
        <v>19</v>
      </c>
      <c r="I16" s="12" t="s">
        <v>130</v>
      </c>
      <c r="J16" s="12" t="s">
        <v>21</v>
      </c>
      <c r="K16" s="12" t="s">
        <v>483</v>
      </c>
      <c r="L16" s="12" t="s">
        <v>248</v>
      </c>
      <c r="M16" s="12">
        <v>43.799525</v>
      </c>
      <c r="N16" s="12">
        <v>44.2970445</v>
      </c>
      <c r="O16" s="12" t="s">
        <v>359</v>
      </c>
      <c r="P16" s="13" t="s">
        <v>484</v>
      </c>
    </row>
    <row r="17">
      <c r="A17" s="11">
        <v>43075.0</v>
      </c>
      <c r="B17" s="12" t="s">
        <v>359</v>
      </c>
      <c r="C17" s="12">
        <v>2017.0</v>
      </c>
      <c r="D17" s="52">
        <v>43075.0</v>
      </c>
      <c r="E17" s="12" t="s">
        <v>247</v>
      </c>
      <c r="F17" s="12" t="s">
        <v>141</v>
      </c>
      <c r="G17" s="12" t="s">
        <v>28</v>
      </c>
      <c r="I17" s="12" t="s">
        <v>130</v>
      </c>
      <c r="J17" s="12" t="s">
        <v>21</v>
      </c>
      <c r="K17" s="12" t="s">
        <v>485</v>
      </c>
      <c r="L17" s="12" t="s">
        <v>262</v>
      </c>
      <c r="M17" s="12">
        <v>43.124812</v>
      </c>
      <c r="N17" s="12">
        <v>46.25</v>
      </c>
      <c r="O17" s="12" t="s">
        <v>359</v>
      </c>
      <c r="P17" s="30" t="s">
        <v>486</v>
      </c>
      <c r="Q17" s="12" t="s">
        <v>487</v>
      </c>
    </row>
    <row r="18">
      <c r="A18" s="11">
        <v>43090.0</v>
      </c>
      <c r="B18" s="12" t="s">
        <v>359</v>
      </c>
      <c r="C18" s="12">
        <v>2017.0</v>
      </c>
      <c r="D18" s="56">
        <v>43090.0</v>
      </c>
      <c r="E18" s="12" t="s">
        <v>247</v>
      </c>
      <c r="F18" s="12" t="s">
        <v>141</v>
      </c>
      <c r="G18" s="12" t="s">
        <v>28</v>
      </c>
      <c r="I18" s="12" t="s">
        <v>130</v>
      </c>
      <c r="J18" s="12" t="s">
        <v>21</v>
      </c>
      <c r="K18" s="12" t="s">
        <v>488</v>
      </c>
      <c r="L18" s="12" t="s">
        <v>262</v>
      </c>
      <c r="M18" s="12">
        <v>42.837608</v>
      </c>
      <c r="N18" s="12">
        <v>46.25</v>
      </c>
      <c r="O18" s="12" t="s">
        <v>359</v>
      </c>
      <c r="P18" s="13" t="s">
        <v>489</v>
      </c>
    </row>
    <row r="19">
      <c r="A19" s="11">
        <v>43132.0</v>
      </c>
      <c r="B19" s="12" t="s">
        <v>359</v>
      </c>
      <c r="C19" s="12">
        <v>2018.0</v>
      </c>
      <c r="D19" s="52">
        <v>43132.0</v>
      </c>
      <c r="E19" s="12" t="s">
        <v>247</v>
      </c>
      <c r="F19" s="12" t="s">
        <v>141</v>
      </c>
      <c r="G19" s="12" t="s">
        <v>28</v>
      </c>
      <c r="I19" s="12" t="s">
        <v>130</v>
      </c>
      <c r="J19" s="12" t="s">
        <v>21</v>
      </c>
      <c r="K19" s="12" t="s">
        <v>148</v>
      </c>
      <c r="L19" s="12" t="s">
        <v>262</v>
      </c>
      <c r="M19" s="12">
        <v>42.0</v>
      </c>
      <c r="N19" s="12">
        <v>42.837608</v>
      </c>
      <c r="O19" s="12" t="s">
        <v>359</v>
      </c>
      <c r="P19" s="13" t="s">
        <v>490</v>
      </c>
    </row>
    <row r="20">
      <c r="A20" s="11">
        <v>43132.0</v>
      </c>
      <c r="B20" s="12" t="s">
        <v>359</v>
      </c>
      <c r="C20" s="12">
        <v>2018.0</v>
      </c>
      <c r="D20" s="52">
        <v>43138.0</v>
      </c>
      <c r="E20" s="12" t="s">
        <v>247</v>
      </c>
      <c r="F20" s="12" t="s">
        <v>18</v>
      </c>
      <c r="G20" s="12" t="s">
        <v>28</v>
      </c>
      <c r="I20" s="12" t="s">
        <v>130</v>
      </c>
      <c r="J20" s="12" t="s">
        <v>21</v>
      </c>
      <c r="K20" s="12" t="s">
        <v>148</v>
      </c>
      <c r="L20" s="12" t="s">
        <v>262</v>
      </c>
      <c r="M20" s="12">
        <v>42.0</v>
      </c>
      <c r="N20" s="12">
        <v>42.837608</v>
      </c>
      <c r="O20" s="12" t="s">
        <v>359</v>
      </c>
      <c r="P20" s="13" t="s">
        <v>490</v>
      </c>
    </row>
    <row r="21">
      <c r="A21" s="11">
        <v>43147.0</v>
      </c>
      <c r="B21" s="12" t="s">
        <v>359</v>
      </c>
      <c r="C21" s="12">
        <v>2018.0</v>
      </c>
      <c r="D21" s="52">
        <v>43147.0</v>
      </c>
      <c r="E21" s="12" t="s">
        <v>247</v>
      </c>
      <c r="F21" s="12" t="s">
        <v>141</v>
      </c>
      <c r="G21" s="12" t="s">
        <v>19</v>
      </c>
      <c r="I21" s="12" t="s">
        <v>130</v>
      </c>
      <c r="J21" s="12" t="s">
        <v>21</v>
      </c>
      <c r="K21" s="12" t="s">
        <v>491</v>
      </c>
      <c r="L21" s="12" t="s">
        <v>248</v>
      </c>
      <c r="M21" s="12">
        <v>42.0</v>
      </c>
      <c r="N21" s="12">
        <v>42.837608</v>
      </c>
      <c r="O21" s="12" t="s">
        <v>359</v>
      </c>
      <c r="P21" s="13" t="s">
        <v>492</v>
      </c>
    </row>
    <row r="22">
      <c r="A22" s="11">
        <v>43147.0</v>
      </c>
      <c r="B22" s="12" t="s">
        <v>359</v>
      </c>
      <c r="C22" s="12">
        <v>2018.0</v>
      </c>
      <c r="D22" s="52">
        <v>43147.0</v>
      </c>
      <c r="E22" s="12" t="s">
        <v>247</v>
      </c>
      <c r="F22" s="12" t="s">
        <v>18</v>
      </c>
      <c r="G22" s="12" t="s">
        <v>19</v>
      </c>
      <c r="I22" s="12" t="s">
        <v>130</v>
      </c>
      <c r="J22" s="12" t="s">
        <v>162</v>
      </c>
      <c r="K22" s="12" t="s">
        <v>491</v>
      </c>
      <c r="L22" s="12" t="s">
        <v>245</v>
      </c>
      <c r="M22" s="12">
        <v>42.0</v>
      </c>
      <c r="N22" s="12">
        <v>42.837608</v>
      </c>
      <c r="O22" s="12" t="s">
        <v>359</v>
      </c>
      <c r="P22" s="13" t="s">
        <v>492</v>
      </c>
    </row>
    <row r="23">
      <c r="A23" s="11">
        <v>43164.0</v>
      </c>
      <c r="B23" s="12" t="s">
        <v>359</v>
      </c>
      <c r="C23" s="12">
        <v>2018.0</v>
      </c>
      <c r="D23" s="52">
        <v>43164.0</v>
      </c>
      <c r="E23" s="12" t="s">
        <v>247</v>
      </c>
      <c r="F23" s="12" t="s">
        <v>141</v>
      </c>
      <c r="G23" s="12" t="s">
        <v>28</v>
      </c>
      <c r="I23" s="12" t="s">
        <v>130</v>
      </c>
      <c r="J23" s="12" t="s">
        <v>21</v>
      </c>
      <c r="K23" s="12" t="s">
        <v>491</v>
      </c>
      <c r="L23" s="12" t="s">
        <v>248</v>
      </c>
      <c r="M23" s="12">
        <v>42.0</v>
      </c>
      <c r="N23" s="12">
        <v>42.837608</v>
      </c>
      <c r="O23" s="12" t="s">
        <v>359</v>
      </c>
      <c r="P23" s="30" t="s">
        <v>493</v>
      </c>
    </row>
    <row r="24">
      <c r="A24" s="11">
        <v>43164.0</v>
      </c>
      <c r="B24" s="12" t="s">
        <v>359</v>
      </c>
      <c r="C24" s="12">
        <v>2018.0</v>
      </c>
      <c r="D24" s="52">
        <v>43164.0</v>
      </c>
      <c r="E24" s="12" t="s">
        <v>247</v>
      </c>
      <c r="F24" s="12" t="s">
        <v>18</v>
      </c>
      <c r="G24" s="12" t="s">
        <v>28</v>
      </c>
      <c r="I24" s="12" t="s">
        <v>130</v>
      </c>
      <c r="J24" s="12" t="s">
        <v>162</v>
      </c>
      <c r="K24" s="12" t="s">
        <v>491</v>
      </c>
      <c r="L24" s="12" t="s">
        <v>245</v>
      </c>
      <c r="M24" s="12">
        <v>42.0</v>
      </c>
      <c r="N24" s="12">
        <v>42.837608</v>
      </c>
      <c r="O24" s="12" t="s">
        <v>359</v>
      </c>
      <c r="P24" s="30" t="s">
        <v>493</v>
      </c>
    </row>
    <row r="25">
      <c r="A25" s="11">
        <v>43392.0</v>
      </c>
      <c r="B25" s="12" t="s">
        <v>359</v>
      </c>
      <c r="C25" s="12">
        <v>2018.0</v>
      </c>
      <c r="D25" s="56">
        <v>43392.0</v>
      </c>
      <c r="E25" s="12" t="s">
        <v>247</v>
      </c>
      <c r="F25" s="12" t="s">
        <v>49</v>
      </c>
      <c r="G25" s="12" t="s">
        <v>19</v>
      </c>
      <c r="I25" s="12" t="s">
        <v>130</v>
      </c>
      <c r="J25" s="12" t="s">
        <v>21</v>
      </c>
      <c r="K25" s="12" t="s">
        <v>148</v>
      </c>
      <c r="L25" s="12" t="s">
        <v>248</v>
      </c>
      <c r="M25" s="12">
        <v>42.0</v>
      </c>
      <c r="N25" s="12">
        <v>42.837608</v>
      </c>
      <c r="O25" s="12" t="s">
        <v>359</v>
      </c>
      <c r="P25" s="13" t="s">
        <v>494</v>
      </c>
    </row>
    <row r="26">
      <c r="A26" s="11">
        <v>43419.0</v>
      </c>
      <c r="B26" s="12" t="s">
        <v>359</v>
      </c>
      <c r="C26" s="12">
        <v>2018.0</v>
      </c>
      <c r="D26" s="52">
        <v>43435.0</v>
      </c>
      <c r="E26" s="12" t="s">
        <v>17</v>
      </c>
      <c r="F26" s="12" t="s">
        <v>49</v>
      </c>
      <c r="G26" s="12" t="s">
        <v>19</v>
      </c>
      <c r="I26" s="12" t="s">
        <v>20</v>
      </c>
      <c r="J26" s="12" t="s">
        <v>21</v>
      </c>
      <c r="K26" s="12" t="s">
        <v>38</v>
      </c>
      <c r="L26" s="12" t="s">
        <v>245</v>
      </c>
      <c r="M26" s="12">
        <v>42.0</v>
      </c>
      <c r="N26" s="12">
        <v>46.25</v>
      </c>
      <c r="O26" s="12" t="s">
        <v>359</v>
      </c>
      <c r="P26" s="30" t="s">
        <v>495</v>
      </c>
    </row>
    <row r="27">
      <c r="A27" s="11">
        <v>43419.0</v>
      </c>
      <c r="B27" s="12" t="s">
        <v>359</v>
      </c>
      <c r="C27" s="12">
        <v>2018.0</v>
      </c>
      <c r="D27" s="52">
        <v>43435.0</v>
      </c>
      <c r="E27" s="12" t="s">
        <v>17</v>
      </c>
      <c r="F27" s="12" t="s">
        <v>18</v>
      </c>
      <c r="G27" s="12" t="s">
        <v>19</v>
      </c>
      <c r="I27" s="12" t="s">
        <v>291</v>
      </c>
      <c r="J27" s="12" t="s">
        <v>21</v>
      </c>
      <c r="K27" s="12" t="s">
        <v>38</v>
      </c>
      <c r="L27" s="12" t="s">
        <v>248</v>
      </c>
      <c r="M27" s="12">
        <v>42.0</v>
      </c>
      <c r="N27" s="12">
        <v>46.25</v>
      </c>
      <c r="O27" s="12" t="s">
        <v>359</v>
      </c>
      <c r="P27" s="30" t="s">
        <v>495</v>
      </c>
    </row>
    <row r="28">
      <c r="A28" s="11">
        <v>43465.0</v>
      </c>
      <c r="B28" s="12" t="s">
        <v>359</v>
      </c>
      <c r="C28" s="12">
        <v>2019.0</v>
      </c>
      <c r="D28" s="52">
        <v>43469.0</v>
      </c>
      <c r="E28" s="12" t="s">
        <v>247</v>
      </c>
      <c r="F28" s="12" t="s">
        <v>18</v>
      </c>
      <c r="G28" s="12" t="s">
        <v>28</v>
      </c>
      <c r="I28" s="12" t="s">
        <v>20</v>
      </c>
      <c r="J28" s="12" t="s">
        <v>21</v>
      </c>
      <c r="K28" s="12" t="s">
        <v>496</v>
      </c>
      <c r="L28" s="12" t="s">
        <v>245</v>
      </c>
      <c r="M28" s="12">
        <v>43.3065139</v>
      </c>
      <c r="N28" s="12">
        <v>46.25</v>
      </c>
      <c r="O28" s="12" t="s">
        <v>359</v>
      </c>
      <c r="P28" s="13" t="s">
        <v>497</v>
      </c>
    </row>
    <row r="29">
      <c r="A29" s="11">
        <v>43465.0</v>
      </c>
      <c r="B29" s="12" t="s">
        <v>359</v>
      </c>
      <c r="C29" s="12">
        <v>2019.0</v>
      </c>
      <c r="D29" s="52">
        <v>43469.0</v>
      </c>
      <c r="E29" s="12" t="s">
        <v>247</v>
      </c>
      <c r="F29" s="12" t="s">
        <v>18</v>
      </c>
      <c r="G29" s="12" t="s">
        <v>19</v>
      </c>
      <c r="I29" s="58" t="s">
        <v>201</v>
      </c>
      <c r="J29" s="58" t="s">
        <v>21</v>
      </c>
      <c r="K29" s="12" t="s">
        <v>304</v>
      </c>
      <c r="L29" s="12" t="s">
        <v>245</v>
      </c>
      <c r="M29" s="12">
        <v>42.0</v>
      </c>
      <c r="N29" s="12">
        <v>43.3065139</v>
      </c>
      <c r="O29" s="12" t="s">
        <v>359</v>
      </c>
      <c r="P29" s="13" t="s">
        <v>497</v>
      </c>
      <c r="Q29" s="12" t="s">
        <v>498</v>
      </c>
    </row>
    <row r="30">
      <c r="A30" s="11">
        <v>43490.0</v>
      </c>
      <c r="B30" s="12" t="s">
        <v>359</v>
      </c>
      <c r="C30" s="12">
        <v>2019.0</v>
      </c>
      <c r="D30" s="52">
        <v>43497.0</v>
      </c>
      <c r="E30" s="12" t="s">
        <v>247</v>
      </c>
      <c r="F30" s="12" t="s">
        <v>18</v>
      </c>
      <c r="G30" s="12" t="s">
        <v>28</v>
      </c>
      <c r="I30" s="58" t="s">
        <v>201</v>
      </c>
      <c r="J30" s="58" t="s">
        <v>21</v>
      </c>
      <c r="K30" s="12" t="s">
        <v>499</v>
      </c>
      <c r="L30" s="12" t="s">
        <v>245</v>
      </c>
      <c r="M30" s="12">
        <v>42.837608</v>
      </c>
      <c r="N30" s="12">
        <v>43.3065139</v>
      </c>
      <c r="O30" s="12" t="s">
        <v>359</v>
      </c>
      <c r="P30" s="13" t="s">
        <v>500</v>
      </c>
    </row>
    <row r="31">
      <c r="A31" s="11">
        <v>43490.0</v>
      </c>
      <c r="B31" s="12" t="s">
        <v>359</v>
      </c>
      <c r="C31" s="12">
        <v>2019.0</v>
      </c>
      <c r="D31" s="52">
        <v>43497.0</v>
      </c>
      <c r="E31" s="12" t="s">
        <v>247</v>
      </c>
      <c r="F31" s="12" t="s">
        <v>18</v>
      </c>
      <c r="G31" s="12" t="s">
        <v>19</v>
      </c>
      <c r="I31" s="12" t="s">
        <v>130</v>
      </c>
      <c r="J31" s="12" t="s">
        <v>162</v>
      </c>
      <c r="K31" s="12" t="s">
        <v>148</v>
      </c>
      <c r="L31" s="12" t="s">
        <v>245</v>
      </c>
      <c r="M31" s="12">
        <v>42.0</v>
      </c>
      <c r="N31" s="12">
        <v>42.837608</v>
      </c>
      <c r="O31" s="12" t="s">
        <v>359</v>
      </c>
      <c r="P31" s="13" t="s">
        <v>500</v>
      </c>
      <c r="Q31" s="12" t="s">
        <v>501</v>
      </c>
    </row>
    <row r="32">
      <c r="A32" s="11">
        <v>43496.0</v>
      </c>
      <c r="B32" s="12" t="s">
        <v>359</v>
      </c>
      <c r="C32" s="12">
        <v>2019.0</v>
      </c>
      <c r="D32" s="52">
        <v>43497.0</v>
      </c>
      <c r="E32" s="12" t="s">
        <v>247</v>
      </c>
      <c r="F32" s="12" t="s">
        <v>18</v>
      </c>
      <c r="G32" s="12" t="s">
        <v>28</v>
      </c>
      <c r="I32" s="12" t="s">
        <v>130</v>
      </c>
      <c r="J32" s="12" t="s">
        <v>162</v>
      </c>
      <c r="K32" s="12" t="s">
        <v>148</v>
      </c>
      <c r="L32" s="12" t="s">
        <v>245</v>
      </c>
      <c r="M32" s="12">
        <v>42.0</v>
      </c>
      <c r="N32" s="12">
        <v>42.837608</v>
      </c>
      <c r="O32" s="12" t="s">
        <v>359</v>
      </c>
      <c r="P32" s="13" t="s">
        <v>502</v>
      </c>
    </row>
    <row r="33">
      <c r="A33" s="11">
        <v>43496.0</v>
      </c>
      <c r="B33" s="12" t="s">
        <v>359</v>
      </c>
      <c r="C33" s="12">
        <v>2019.0</v>
      </c>
      <c r="D33" s="52">
        <v>43497.0</v>
      </c>
      <c r="E33" s="12" t="s">
        <v>247</v>
      </c>
      <c r="F33" s="12" t="s">
        <v>18</v>
      </c>
      <c r="G33" s="12" t="s">
        <v>19</v>
      </c>
      <c r="I33" s="12" t="s">
        <v>130</v>
      </c>
      <c r="J33" s="12" t="s">
        <v>503</v>
      </c>
      <c r="K33" s="12" t="s">
        <v>504</v>
      </c>
      <c r="L33" s="12" t="s">
        <v>245</v>
      </c>
      <c r="M33" s="59">
        <v>32.534343</v>
      </c>
      <c r="N33" s="38">
        <v>42.0</v>
      </c>
      <c r="O33" s="12" t="s">
        <v>359</v>
      </c>
      <c r="P33" s="13" t="s">
        <v>502</v>
      </c>
    </row>
    <row r="34">
      <c r="A34" s="11">
        <v>43511.0</v>
      </c>
      <c r="B34" s="12" t="s">
        <v>359</v>
      </c>
      <c r="C34" s="12">
        <v>2019.0</v>
      </c>
      <c r="D34" s="52">
        <v>43511.0</v>
      </c>
      <c r="E34" s="12" t="s">
        <v>247</v>
      </c>
      <c r="F34" s="12" t="s">
        <v>141</v>
      </c>
      <c r="G34" s="12" t="s">
        <v>19</v>
      </c>
      <c r="I34" s="12" t="s">
        <v>130</v>
      </c>
      <c r="J34" s="12" t="s">
        <v>21</v>
      </c>
      <c r="K34" s="12" t="s">
        <v>309</v>
      </c>
      <c r="L34" s="12" t="s">
        <v>376</v>
      </c>
      <c r="M34" s="12">
        <v>42.0</v>
      </c>
      <c r="N34" s="12">
        <v>43.1116505</v>
      </c>
      <c r="O34" s="12" t="s">
        <v>359</v>
      </c>
      <c r="P34" s="13" t="s">
        <v>505</v>
      </c>
    </row>
    <row r="35">
      <c r="A35" s="11">
        <v>43511.0</v>
      </c>
      <c r="B35" s="12" t="s">
        <v>359</v>
      </c>
      <c r="C35" s="12">
        <v>2019.0</v>
      </c>
      <c r="D35" s="52">
        <v>43511.0</v>
      </c>
      <c r="E35" s="12" t="s">
        <v>247</v>
      </c>
      <c r="F35" s="12" t="s">
        <v>18</v>
      </c>
      <c r="G35" s="12" t="s">
        <v>19</v>
      </c>
      <c r="I35" s="12" t="s">
        <v>130</v>
      </c>
      <c r="J35" s="12" t="s">
        <v>162</v>
      </c>
      <c r="K35" s="12" t="s">
        <v>309</v>
      </c>
      <c r="L35" s="12" t="s">
        <v>376</v>
      </c>
      <c r="M35" s="12">
        <v>42.0</v>
      </c>
      <c r="N35" s="12">
        <v>43.1116505</v>
      </c>
      <c r="O35" s="12" t="s">
        <v>359</v>
      </c>
      <c r="P35" s="13" t="s">
        <v>505</v>
      </c>
    </row>
    <row r="36">
      <c r="A36" s="11">
        <v>43552.0</v>
      </c>
      <c r="B36" s="12" t="s">
        <v>359</v>
      </c>
      <c r="C36" s="12">
        <v>2019.0</v>
      </c>
      <c r="D36" s="52">
        <v>43552.0</v>
      </c>
      <c r="E36" s="12" t="s">
        <v>247</v>
      </c>
      <c r="F36" s="12" t="s">
        <v>141</v>
      </c>
      <c r="G36" s="12" t="s">
        <v>28</v>
      </c>
      <c r="I36" s="12" t="s">
        <v>130</v>
      </c>
      <c r="J36" s="12" t="s">
        <v>21</v>
      </c>
      <c r="K36" s="12" t="s">
        <v>309</v>
      </c>
      <c r="M36" s="12">
        <v>42.0</v>
      </c>
      <c r="N36" s="12">
        <v>43.1116505</v>
      </c>
      <c r="O36" s="12" t="s">
        <v>359</v>
      </c>
      <c r="P36" s="13" t="s">
        <v>506</v>
      </c>
    </row>
    <row r="37">
      <c r="A37" s="11">
        <v>43595.0</v>
      </c>
      <c r="B37" s="12" t="s">
        <v>359</v>
      </c>
      <c r="C37" s="12">
        <v>2019.0</v>
      </c>
      <c r="D37" s="52">
        <v>43595.0</v>
      </c>
      <c r="E37" s="12" t="s">
        <v>247</v>
      </c>
      <c r="F37" s="12" t="s">
        <v>141</v>
      </c>
      <c r="G37" s="12" t="s">
        <v>19</v>
      </c>
      <c r="I37" s="12" t="s">
        <v>130</v>
      </c>
      <c r="J37" s="12" t="s">
        <v>21</v>
      </c>
      <c r="K37" s="12" t="s">
        <v>148</v>
      </c>
      <c r="M37" s="12">
        <v>42.0</v>
      </c>
      <c r="N37" s="12">
        <v>42.837608</v>
      </c>
      <c r="O37" s="12" t="s">
        <v>359</v>
      </c>
      <c r="P37" s="13" t="s">
        <v>507</v>
      </c>
    </row>
    <row r="38">
      <c r="A38" s="11">
        <v>43609.0</v>
      </c>
      <c r="B38" s="12" t="s">
        <v>359</v>
      </c>
      <c r="C38" s="12">
        <v>2019.0</v>
      </c>
      <c r="D38" s="52">
        <v>43609.0</v>
      </c>
      <c r="E38" s="12" t="s">
        <v>247</v>
      </c>
      <c r="F38" s="12" t="s">
        <v>18</v>
      </c>
      <c r="G38" s="12" t="s">
        <v>28</v>
      </c>
      <c r="I38" s="12" t="s">
        <v>130</v>
      </c>
      <c r="J38" s="12" t="s">
        <v>162</v>
      </c>
      <c r="K38" s="12" t="s">
        <v>148</v>
      </c>
      <c r="M38" s="12">
        <v>42.0</v>
      </c>
      <c r="N38" s="12">
        <v>42.837608</v>
      </c>
      <c r="O38" s="12" t="s">
        <v>359</v>
      </c>
      <c r="P38" s="13" t="s">
        <v>508</v>
      </c>
    </row>
    <row r="39">
      <c r="A39" s="11">
        <v>43609.0</v>
      </c>
      <c r="B39" s="12" t="s">
        <v>359</v>
      </c>
      <c r="C39" s="12">
        <v>2019.0</v>
      </c>
      <c r="D39" s="52">
        <v>43609.0</v>
      </c>
      <c r="E39" s="12" t="s">
        <v>247</v>
      </c>
      <c r="F39" s="12" t="s">
        <v>141</v>
      </c>
      <c r="G39" s="12" t="s">
        <v>28</v>
      </c>
      <c r="I39" s="12" t="s">
        <v>130</v>
      </c>
      <c r="J39" s="12" t="s">
        <v>21</v>
      </c>
      <c r="K39" s="12" t="s">
        <v>148</v>
      </c>
      <c r="M39" s="12">
        <v>42.0</v>
      </c>
      <c r="N39" s="12">
        <v>42.837608</v>
      </c>
      <c r="O39" s="12" t="s">
        <v>359</v>
      </c>
      <c r="P39" s="13" t="s">
        <v>508</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s>
  <drawing r:id="rId3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3.5"/>
    <col customWidth="1" min="3" max="3" width="63.63"/>
    <col customWidth="1" min="4" max="4" width="52.5"/>
  </cols>
  <sheetData>
    <row r="1">
      <c r="A1" s="60" t="s">
        <v>13</v>
      </c>
      <c r="B1" s="28" t="s">
        <v>23</v>
      </c>
      <c r="C1" s="61"/>
      <c r="D1" s="61"/>
      <c r="E1" s="62"/>
      <c r="F1" s="62"/>
      <c r="G1" s="62"/>
      <c r="H1" s="60"/>
      <c r="I1" s="62"/>
      <c r="J1" s="60"/>
      <c r="K1" s="62"/>
      <c r="L1" s="62"/>
      <c r="M1" s="62"/>
      <c r="N1" s="60"/>
      <c r="O1" s="62"/>
      <c r="P1" s="62"/>
      <c r="Q1" s="3"/>
      <c r="R1" s="3"/>
      <c r="S1" s="3"/>
      <c r="T1" s="3"/>
      <c r="U1" s="3"/>
      <c r="V1" s="3"/>
      <c r="W1" s="3"/>
      <c r="X1" s="3"/>
      <c r="Y1" s="3"/>
      <c r="Z1" s="3"/>
      <c r="AA1" s="3"/>
      <c r="AB1" s="3"/>
      <c r="AC1" s="3"/>
      <c r="AD1" s="3"/>
      <c r="AE1" s="3"/>
      <c r="AF1" s="3"/>
      <c r="AG1" s="3"/>
      <c r="AH1" s="3"/>
      <c r="AI1" s="3"/>
      <c r="AJ1" s="3"/>
      <c r="AK1" s="3"/>
      <c r="AL1" s="3"/>
      <c r="AM1" s="3"/>
      <c r="AN1" s="3"/>
    </row>
    <row r="2">
      <c r="A2" s="63" t="s">
        <v>509</v>
      </c>
      <c r="B2" s="64" t="s">
        <v>510</v>
      </c>
      <c r="C2" s="64" t="s">
        <v>511</v>
      </c>
      <c r="D2" s="65" t="s">
        <v>512</v>
      </c>
    </row>
    <row r="3">
      <c r="A3" s="3" t="s">
        <v>0</v>
      </c>
      <c r="C3" s="66" t="s">
        <v>513</v>
      </c>
      <c r="D3" s="67"/>
    </row>
    <row r="4">
      <c r="A4" s="3" t="s">
        <v>1</v>
      </c>
      <c r="B4" s="12" t="s">
        <v>514</v>
      </c>
      <c r="C4" s="66" t="s">
        <v>515</v>
      </c>
      <c r="D4" s="66" t="s">
        <v>516</v>
      </c>
    </row>
    <row r="5">
      <c r="A5" s="3" t="s">
        <v>2</v>
      </c>
      <c r="C5" s="68" t="s">
        <v>517</v>
      </c>
      <c r="D5" s="67"/>
    </row>
    <row r="6">
      <c r="A6" s="3" t="s">
        <v>3</v>
      </c>
      <c r="C6" s="68" t="s">
        <v>518</v>
      </c>
      <c r="D6" s="67"/>
    </row>
    <row r="7">
      <c r="A7" s="3" t="s">
        <v>4</v>
      </c>
      <c r="B7" s="12" t="s">
        <v>17</v>
      </c>
      <c r="C7" s="68" t="s">
        <v>519</v>
      </c>
      <c r="D7" s="67"/>
    </row>
    <row r="8">
      <c r="A8" s="3" t="s">
        <v>5</v>
      </c>
      <c r="B8" s="68" t="s">
        <v>49</v>
      </c>
      <c r="C8" s="68" t="s">
        <v>520</v>
      </c>
      <c r="D8" s="67"/>
    </row>
    <row r="9">
      <c r="B9" s="68" t="s">
        <v>141</v>
      </c>
      <c r="C9" s="68" t="s">
        <v>521</v>
      </c>
      <c r="D9" s="67"/>
    </row>
    <row r="10">
      <c r="B10" s="12" t="s">
        <v>18</v>
      </c>
      <c r="C10" s="66" t="s">
        <v>522</v>
      </c>
      <c r="D10" s="67"/>
    </row>
    <row r="11">
      <c r="A11" s="3" t="s">
        <v>6</v>
      </c>
      <c r="B11" s="69" t="s">
        <v>19</v>
      </c>
      <c r="C11" s="68" t="s">
        <v>523</v>
      </c>
      <c r="D11" s="67"/>
    </row>
    <row r="12">
      <c r="B12" s="69" t="s">
        <v>28</v>
      </c>
      <c r="C12" s="68" t="s">
        <v>524</v>
      </c>
      <c r="D12" s="67"/>
    </row>
    <row r="13">
      <c r="A13" s="28" t="s">
        <v>7</v>
      </c>
      <c r="B13" s="12" t="s">
        <v>37</v>
      </c>
      <c r="C13" s="66" t="s">
        <v>525</v>
      </c>
      <c r="D13" s="67"/>
    </row>
    <row r="14">
      <c r="A14" s="3" t="s">
        <v>8</v>
      </c>
      <c r="B14" s="12" t="s">
        <v>20</v>
      </c>
      <c r="C14" s="68" t="s">
        <v>526</v>
      </c>
      <c r="D14" s="67"/>
    </row>
    <row r="15">
      <c r="B15" s="12" t="s">
        <v>168</v>
      </c>
      <c r="C15" s="66" t="s">
        <v>527</v>
      </c>
      <c r="D15" s="67"/>
    </row>
    <row r="16">
      <c r="B16" s="12" t="s">
        <v>130</v>
      </c>
      <c r="C16" s="68" t="s">
        <v>528</v>
      </c>
      <c r="D16" s="67"/>
    </row>
    <row r="17">
      <c r="B17" s="12" t="s">
        <v>35</v>
      </c>
      <c r="C17" s="66" t="s">
        <v>529</v>
      </c>
      <c r="D17" s="67"/>
    </row>
    <row r="18">
      <c r="B18" s="12" t="s">
        <v>50</v>
      </c>
      <c r="C18" s="66" t="s">
        <v>530</v>
      </c>
      <c r="D18" s="67"/>
    </row>
    <row r="19">
      <c r="B19" s="12" t="s">
        <v>62</v>
      </c>
      <c r="C19" s="66" t="s">
        <v>531</v>
      </c>
      <c r="D19" s="67"/>
    </row>
    <row r="20">
      <c r="B20" s="12" t="s">
        <v>115</v>
      </c>
      <c r="C20" s="66" t="s">
        <v>532</v>
      </c>
      <c r="D20" s="67"/>
    </row>
    <row r="21">
      <c r="A21" s="28" t="s">
        <v>9</v>
      </c>
      <c r="B21" s="12" t="s">
        <v>21</v>
      </c>
      <c r="C21" s="66" t="s">
        <v>533</v>
      </c>
      <c r="D21" s="67"/>
    </row>
    <row r="22">
      <c r="B22" s="12" t="s">
        <v>40</v>
      </c>
      <c r="C22" s="66" t="s">
        <v>534</v>
      </c>
      <c r="D22" s="67"/>
    </row>
    <row r="23">
      <c r="B23" s="12" t="s">
        <v>162</v>
      </c>
      <c r="C23" s="66" t="s">
        <v>535</v>
      </c>
      <c r="D23" s="67"/>
    </row>
    <row r="24">
      <c r="A24" s="3" t="s">
        <v>10</v>
      </c>
      <c r="C24" s="69" t="s">
        <v>536</v>
      </c>
      <c r="D24" s="67"/>
    </row>
    <row r="25">
      <c r="A25" s="3" t="s">
        <v>11</v>
      </c>
      <c r="C25" s="69" t="s">
        <v>537</v>
      </c>
      <c r="D25" s="67"/>
    </row>
    <row r="26">
      <c r="A26" s="3" t="s">
        <v>12</v>
      </c>
      <c r="C26" s="69" t="s">
        <v>538</v>
      </c>
      <c r="D26" s="67"/>
    </row>
    <row r="27">
      <c r="A27" s="28" t="s">
        <v>13</v>
      </c>
      <c r="B27" s="12" t="s">
        <v>539</v>
      </c>
      <c r="C27" s="66" t="s">
        <v>540</v>
      </c>
      <c r="D27" s="67"/>
    </row>
    <row r="28">
      <c r="A28" s="3" t="s">
        <v>14</v>
      </c>
      <c r="C28" s="68" t="s">
        <v>541</v>
      </c>
      <c r="D28" s="67"/>
    </row>
    <row r="29">
      <c r="A29" s="3" t="s">
        <v>15</v>
      </c>
      <c r="C29" s="69" t="s">
        <v>542</v>
      </c>
      <c r="D29" s="67"/>
    </row>
    <row r="30">
      <c r="A30" s="3"/>
      <c r="C30" s="67"/>
      <c r="D30" s="67"/>
    </row>
    <row r="31">
      <c r="A31" s="3"/>
      <c r="C31" s="67"/>
      <c r="D31" s="67"/>
    </row>
    <row r="32">
      <c r="A32" s="60" t="s">
        <v>13</v>
      </c>
      <c r="B32" s="28" t="s">
        <v>16</v>
      </c>
      <c r="C32" s="61"/>
      <c r="D32" s="67"/>
    </row>
    <row r="33">
      <c r="A33" s="63" t="s">
        <v>509</v>
      </c>
      <c r="B33" s="64" t="s">
        <v>510</v>
      </c>
      <c r="C33" s="64" t="s">
        <v>511</v>
      </c>
      <c r="D33" s="67"/>
    </row>
    <row r="34">
      <c r="A34" s="3" t="s">
        <v>0</v>
      </c>
      <c r="C34" s="66" t="s">
        <v>513</v>
      </c>
      <c r="D34" s="67"/>
    </row>
    <row r="35">
      <c r="A35" s="3" t="s">
        <v>1</v>
      </c>
      <c r="B35" s="12" t="s">
        <v>16</v>
      </c>
      <c r="C35" s="66" t="s">
        <v>515</v>
      </c>
      <c r="D35" s="67"/>
    </row>
    <row r="36">
      <c r="A36" s="3" t="s">
        <v>2</v>
      </c>
      <c r="C36" s="68" t="s">
        <v>517</v>
      </c>
      <c r="D36" s="67"/>
    </row>
    <row r="37">
      <c r="A37" s="3" t="s">
        <v>3</v>
      </c>
      <c r="C37" s="68" t="s">
        <v>518</v>
      </c>
      <c r="D37" s="67"/>
    </row>
    <row r="38">
      <c r="A38" s="3" t="s">
        <v>4</v>
      </c>
      <c r="B38" s="12" t="s">
        <v>543</v>
      </c>
      <c r="C38" s="68" t="s">
        <v>519</v>
      </c>
      <c r="D38" s="67"/>
    </row>
    <row r="39">
      <c r="A39" s="3" t="s">
        <v>5</v>
      </c>
      <c r="B39" s="68" t="s">
        <v>49</v>
      </c>
      <c r="C39" s="68" t="s">
        <v>520</v>
      </c>
      <c r="D39" s="67"/>
    </row>
    <row r="40">
      <c r="B40" s="68" t="s">
        <v>141</v>
      </c>
      <c r="C40" s="68" t="s">
        <v>521</v>
      </c>
      <c r="D40" s="67"/>
    </row>
    <row r="41">
      <c r="B41" s="12" t="s">
        <v>18</v>
      </c>
      <c r="C41" s="66" t="s">
        <v>522</v>
      </c>
      <c r="D41" s="67"/>
    </row>
    <row r="42">
      <c r="A42" s="3" t="s">
        <v>6</v>
      </c>
      <c r="B42" s="69" t="s">
        <v>19</v>
      </c>
      <c r="C42" s="68" t="s">
        <v>523</v>
      </c>
      <c r="D42" s="67"/>
    </row>
    <row r="43">
      <c r="B43" s="69" t="s">
        <v>28</v>
      </c>
      <c r="C43" s="68" t="s">
        <v>524</v>
      </c>
      <c r="D43" s="67"/>
    </row>
    <row r="44">
      <c r="A44" s="28" t="s">
        <v>239</v>
      </c>
      <c r="B44" s="12" t="s">
        <v>37</v>
      </c>
      <c r="C44" s="66" t="s">
        <v>525</v>
      </c>
      <c r="D44" s="67"/>
    </row>
    <row r="45">
      <c r="A45" s="3" t="s">
        <v>8</v>
      </c>
      <c r="B45" s="12" t="s">
        <v>20</v>
      </c>
      <c r="C45" s="68" t="s">
        <v>526</v>
      </c>
      <c r="D45" s="67"/>
    </row>
    <row r="46">
      <c r="B46" s="12" t="s">
        <v>201</v>
      </c>
      <c r="C46" s="66" t="s">
        <v>544</v>
      </c>
      <c r="D46" s="67"/>
    </row>
    <row r="47">
      <c r="B47" s="12" t="s">
        <v>130</v>
      </c>
      <c r="C47" s="68" t="s">
        <v>528</v>
      </c>
      <c r="D47" s="67"/>
    </row>
    <row r="48">
      <c r="B48" s="12" t="s">
        <v>291</v>
      </c>
      <c r="C48" s="66" t="s">
        <v>545</v>
      </c>
      <c r="D48" s="67"/>
    </row>
    <row r="49">
      <c r="A49" s="28" t="s">
        <v>9</v>
      </c>
      <c r="B49" s="12" t="s">
        <v>21</v>
      </c>
      <c r="C49" s="66" t="s">
        <v>533</v>
      </c>
      <c r="D49" s="67"/>
    </row>
    <row r="50">
      <c r="B50" s="12" t="s">
        <v>162</v>
      </c>
      <c r="C50" s="66" t="s">
        <v>535</v>
      </c>
      <c r="D50" s="67"/>
    </row>
    <row r="51">
      <c r="A51" s="3"/>
      <c r="B51" s="12" t="s">
        <v>546</v>
      </c>
      <c r="C51" s="68" t="s">
        <v>547</v>
      </c>
      <c r="D51" s="67"/>
    </row>
    <row r="52">
      <c r="A52" s="3" t="s">
        <v>10</v>
      </c>
      <c r="C52" s="69" t="s">
        <v>536</v>
      </c>
      <c r="D52" s="67"/>
    </row>
    <row r="53">
      <c r="A53" s="3" t="s">
        <v>11</v>
      </c>
      <c r="C53" s="69" t="s">
        <v>537</v>
      </c>
      <c r="D53" s="67"/>
    </row>
    <row r="54">
      <c r="A54" s="3" t="s">
        <v>12</v>
      </c>
      <c r="C54" s="69" t="s">
        <v>538</v>
      </c>
      <c r="D54" s="67"/>
    </row>
    <row r="55">
      <c r="A55" s="28" t="s">
        <v>13</v>
      </c>
      <c r="C55" s="12" t="s">
        <v>548</v>
      </c>
      <c r="D55" s="67"/>
    </row>
    <row r="56">
      <c r="A56" s="3" t="s">
        <v>14</v>
      </c>
      <c r="C56" s="68" t="s">
        <v>541</v>
      </c>
      <c r="D56" s="67"/>
    </row>
    <row r="57">
      <c r="A57" s="3" t="s">
        <v>15</v>
      </c>
      <c r="C57" s="69" t="s">
        <v>542</v>
      </c>
      <c r="D57" s="67"/>
    </row>
    <row r="58">
      <c r="C58" s="67"/>
      <c r="D58" s="67"/>
    </row>
    <row r="59">
      <c r="C59" s="67"/>
      <c r="D59" s="67"/>
    </row>
    <row r="60">
      <c r="C60" s="67"/>
      <c r="D60" s="67"/>
    </row>
    <row r="61">
      <c r="A61" s="60" t="s">
        <v>13</v>
      </c>
      <c r="B61" s="28" t="s">
        <v>359</v>
      </c>
      <c r="C61" s="70" t="s">
        <v>549</v>
      </c>
      <c r="D61" s="67"/>
    </row>
    <row r="62">
      <c r="A62" s="63" t="s">
        <v>509</v>
      </c>
      <c r="B62" s="64" t="s">
        <v>510</v>
      </c>
      <c r="C62" s="64" t="s">
        <v>511</v>
      </c>
      <c r="D62" s="65" t="s">
        <v>512</v>
      </c>
    </row>
    <row r="63">
      <c r="A63" s="3" t="s">
        <v>0</v>
      </c>
      <c r="C63" s="66" t="s">
        <v>513</v>
      </c>
      <c r="D63" s="67"/>
    </row>
    <row r="64">
      <c r="A64" s="3" t="s">
        <v>1</v>
      </c>
      <c r="B64" s="12" t="s">
        <v>359</v>
      </c>
      <c r="C64" s="66" t="s">
        <v>515</v>
      </c>
      <c r="D64" s="67"/>
    </row>
    <row r="65">
      <c r="A65" s="3" t="s">
        <v>2</v>
      </c>
      <c r="B65" s="12" t="s">
        <v>550</v>
      </c>
      <c r="C65" s="68" t="s">
        <v>517</v>
      </c>
      <c r="D65" s="67"/>
    </row>
    <row r="66">
      <c r="A66" s="3" t="s">
        <v>3</v>
      </c>
      <c r="C66" s="68" t="s">
        <v>518</v>
      </c>
      <c r="D66" s="67"/>
    </row>
    <row r="67">
      <c r="A67" s="3" t="s">
        <v>4</v>
      </c>
      <c r="B67" s="12" t="s">
        <v>551</v>
      </c>
      <c r="C67" s="68" t="s">
        <v>519</v>
      </c>
      <c r="D67" s="67"/>
    </row>
    <row r="68">
      <c r="A68" s="3" t="s">
        <v>5</v>
      </c>
      <c r="B68" s="12" t="s">
        <v>18</v>
      </c>
      <c r="C68" s="66" t="s">
        <v>522</v>
      </c>
      <c r="D68" s="67"/>
    </row>
    <row r="69">
      <c r="B69" s="12" t="s">
        <v>141</v>
      </c>
      <c r="C69" s="68" t="s">
        <v>521</v>
      </c>
      <c r="D69" s="67"/>
    </row>
    <row r="70">
      <c r="B70" s="12" t="s">
        <v>49</v>
      </c>
      <c r="C70" s="68" t="s">
        <v>520</v>
      </c>
      <c r="D70" s="67"/>
    </row>
    <row r="71">
      <c r="B71" s="12" t="s">
        <v>365</v>
      </c>
      <c r="C71" s="12" t="s">
        <v>552</v>
      </c>
      <c r="D71" s="66" t="s">
        <v>553</v>
      </c>
    </row>
    <row r="72">
      <c r="B72" s="12" t="s">
        <v>361</v>
      </c>
      <c r="C72" s="12" t="s">
        <v>554</v>
      </c>
      <c r="D72" s="66" t="s">
        <v>555</v>
      </c>
    </row>
    <row r="73">
      <c r="A73" s="3" t="s">
        <v>6</v>
      </c>
      <c r="B73" s="12" t="s">
        <v>19</v>
      </c>
      <c r="C73" s="68" t="s">
        <v>523</v>
      </c>
      <c r="D73" s="67"/>
    </row>
    <row r="74">
      <c r="B74" s="12" t="s">
        <v>28</v>
      </c>
      <c r="C74" s="68" t="s">
        <v>524</v>
      </c>
      <c r="D74" s="67"/>
    </row>
    <row r="75">
      <c r="A75" s="28" t="s">
        <v>239</v>
      </c>
      <c r="B75" s="12" t="s">
        <v>37</v>
      </c>
      <c r="C75" s="66" t="s">
        <v>525</v>
      </c>
      <c r="D75" s="67"/>
    </row>
    <row r="76">
      <c r="A76" s="3" t="s">
        <v>8</v>
      </c>
      <c r="B76" s="12" t="s">
        <v>20</v>
      </c>
      <c r="C76" s="68" t="s">
        <v>526</v>
      </c>
      <c r="D76" s="67"/>
    </row>
    <row r="77">
      <c r="B77" s="12" t="s">
        <v>201</v>
      </c>
      <c r="C77" s="66" t="s">
        <v>544</v>
      </c>
      <c r="D77" s="67"/>
    </row>
    <row r="78">
      <c r="B78" s="12" t="s">
        <v>130</v>
      </c>
      <c r="C78" s="68" t="s">
        <v>528</v>
      </c>
      <c r="D78" s="67"/>
    </row>
    <row r="79">
      <c r="B79" s="12" t="s">
        <v>291</v>
      </c>
      <c r="C79" s="66" t="s">
        <v>545</v>
      </c>
      <c r="D79" s="67"/>
    </row>
    <row r="80">
      <c r="B80" s="12" t="s">
        <v>462</v>
      </c>
      <c r="C80" s="66" t="s">
        <v>556</v>
      </c>
      <c r="D80" s="67"/>
    </row>
    <row r="81">
      <c r="B81" s="12" t="s">
        <v>371</v>
      </c>
      <c r="C81" s="12" t="s">
        <v>557</v>
      </c>
      <c r="D81" s="67"/>
    </row>
    <row r="82">
      <c r="A82" s="28" t="s">
        <v>240</v>
      </c>
      <c r="B82" s="12" t="s">
        <v>21</v>
      </c>
      <c r="C82" s="66" t="s">
        <v>533</v>
      </c>
      <c r="D82" s="67"/>
    </row>
    <row r="83">
      <c r="B83" s="12" t="s">
        <v>162</v>
      </c>
      <c r="C83" s="66" t="s">
        <v>535</v>
      </c>
      <c r="D83" s="67"/>
    </row>
    <row r="84">
      <c r="A84" s="3" t="s">
        <v>10</v>
      </c>
      <c r="C84" s="69" t="s">
        <v>536</v>
      </c>
      <c r="D84" s="67"/>
    </row>
    <row r="85">
      <c r="A85" s="28" t="s">
        <v>241</v>
      </c>
      <c r="C85" s="69" t="s">
        <v>537</v>
      </c>
      <c r="D85" s="67"/>
    </row>
    <row r="86">
      <c r="A86" s="3" t="s">
        <v>11</v>
      </c>
      <c r="C86" s="69" t="s">
        <v>538</v>
      </c>
      <c r="D86" s="67"/>
    </row>
    <row r="87">
      <c r="A87" s="3" t="s">
        <v>12</v>
      </c>
      <c r="C87" s="66" t="s">
        <v>540</v>
      </c>
      <c r="D87" s="67"/>
    </row>
    <row r="88">
      <c r="A88" s="28" t="s">
        <v>13</v>
      </c>
      <c r="C88" s="12" t="s">
        <v>548</v>
      </c>
      <c r="D88" s="67"/>
    </row>
    <row r="89">
      <c r="A89" s="3" t="s">
        <v>14</v>
      </c>
      <c r="C89" s="68" t="s">
        <v>541</v>
      </c>
      <c r="D89" s="67"/>
    </row>
    <row r="90">
      <c r="A90" s="3" t="s">
        <v>15</v>
      </c>
      <c r="C90" s="69" t="s">
        <v>542</v>
      </c>
      <c r="D90" s="67"/>
    </row>
    <row r="91">
      <c r="C91" s="67"/>
      <c r="D91" s="67"/>
    </row>
    <row r="92">
      <c r="C92" s="67"/>
      <c r="D92" s="67"/>
    </row>
    <row r="93">
      <c r="C93" s="67"/>
      <c r="D93" s="67"/>
    </row>
    <row r="94">
      <c r="C94" s="67"/>
      <c r="D94" s="67"/>
    </row>
    <row r="95">
      <c r="C95" s="67"/>
      <c r="D95" s="67"/>
    </row>
    <row r="96">
      <c r="C96" s="67"/>
      <c r="D96" s="67"/>
    </row>
    <row r="97">
      <c r="C97" s="67"/>
      <c r="D97" s="67"/>
    </row>
    <row r="98">
      <c r="C98" s="67"/>
      <c r="D98" s="67"/>
    </row>
    <row r="99">
      <c r="C99" s="67"/>
      <c r="D99" s="67"/>
    </row>
    <row r="100">
      <c r="C100" s="67"/>
      <c r="D100" s="67"/>
    </row>
    <row r="101">
      <c r="C101" s="67"/>
      <c r="D101" s="67"/>
    </row>
    <row r="102">
      <c r="C102" s="67"/>
      <c r="D102" s="67"/>
    </row>
    <row r="103">
      <c r="C103" s="67"/>
      <c r="D103" s="67"/>
    </row>
    <row r="104">
      <c r="C104" s="67"/>
      <c r="D104" s="67"/>
    </row>
    <row r="105">
      <c r="C105" s="67"/>
      <c r="D105" s="67"/>
    </row>
    <row r="106">
      <c r="C106" s="67"/>
      <c r="D106" s="67"/>
    </row>
    <row r="107">
      <c r="C107" s="67"/>
      <c r="D107" s="67"/>
    </row>
    <row r="108">
      <c r="C108" s="67"/>
      <c r="D108" s="67"/>
    </row>
    <row r="109">
      <c r="C109" s="67"/>
      <c r="D109" s="67"/>
    </row>
    <row r="110">
      <c r="C110" s="67"/>
      <c r="D110" s="67"/>
    </row>
    <row r="111">
      <c r="C111" s="67"/>
      <c r="D111" s="67"/>
    </row>
    <row r="112">
      <c r="C112" s="67"/>
      <c r="D112" s="67"/>
    </row>
    <row r="113">
      <c r="C113" s="67"/>
      <c r="D113" s="67"/>
    </row>
    <row r="114">
      <c r="C114" s="67"/>
      <c r="D114" s="67"/>
    </row>
    <row r="115">
      <c r="C115" s="67"/>
      <c r="D115" s="67"/>
    </row>
    <row r="116">
      <c r="C116" s="67"/>
      <c r="D116" s="67"/>
    </row>
    <row r="117">
      <c r="C117" s="67"/>
      <c r="D117" s="67"/>
    </row>
    <row r="118">
      <c r="C118" s="67"/>
      <c r="D118" s="67"/>
    </row>
    <row r="119">
      <c r="C119" s="67"/>
      <c r="D119" s="67"/>
    </row>
    <row r="120">
      <c r="C120" s="67"/>
      <c r="D120" s="67"/>
    </row>
    <row r="121">
      <c r="C121" s="67"/>
      <c r="D121" s="67"/>
    </row>
    <row r="122">
      <c r="C122" s="67"/>
      <c r="D122" s="67"/>
    </row>
    <row r="123">
      <c r="C123" s="67"/>
      <c r="D123" s="67"/>
    </row>
    <row r="124">
      <c r="C124" s="67"/>
      <c r="D124" s="67"/>
    </row>
    <row r="125">
      <c r="C125" s="67"/>
      <c r="D125" s="67"/>
    </row>
    <row r="126">
      <c r="C126" s="67"/>
      <c r="D126" s="67"/>
    </row>
    <row r="127">
      <c r="C127" s="67"/>
      <c r="D127" s="67"/>
    </row>
    <row r="128">
      <c r="C128" s="67"/>
      <c r="D128" s="67"/>
    </row>
    <row r="129">
      <c r="C129" s="67"/>
      <c r="D129" s="67"/>
    </row>
    <row r="130">
      <c r="C130" s="67"/>
      <c r="D130" s="67"/>
    </row>
    <row r="131">
      <c r="C131" s="67"/>
      <c r="D131" s="67"/>
    </row>
    <row r="132">
      <c r="C132" s="67"/>
      <c r="D132" s="67"/>
    </row>
    <row r="133">
      <c r="C133" s="67"/>
      <c r="D133" s="67"/>
    </row>
    <row r="134">
      <c r="C134" s="67"/>
      <c r="D134" s="67"/>
    </row>
    <row r="135">
      <c r="C135" s="67"/>
      <c r="D135" s="67"/>
    </row>
    <row r="136">
      <c r="C136" s="67"/>
      <c r="D136" s="67"/>
    </row>
    <row r="137">
      <c r="C137" s="67"/>
      <c r="D137" s="67"/>
    </row>
    <row r="138">
      <c r="C138" s="67"/>
      <c r="D138" s="67"/>
    </row>
    <row r="139">
      <c r="C139" s="67"/>
      <c r="D139" s="67"/>
    </row>
    <row r="140">
      <c r="C140" s="67"/>
      <c r="D140" s="67"/>
    </row>
    <row r="141">
      <c r="C141" s="67"/>
      <c r="D141" s="67"/>
    </row>
    <row r="142">
      <c r="C142" s="67"/>
      <c r="D142" s="67"/>
    </row>
    <row r="143">
      <c r="C143" s="67"/>
      <c r="D143" s="67"/>
    </row>
    <row r="144">
      <c r="C144" s="67"/>
      <c r="D144" s="67"/>
    </row>
    <row r="145">
      <c r="C145" s="67"/>
      <c r="D145" s="67"/>
    </row>
    <row r="146">
      <c r="C146" s="67"/>
      <c r="D146" s="67"/>
    </row>
    <row r="147">
      <c r="C147" s="67"/>
      <c r="D147" s="67"/>
    </row>
    <row r="148">
      <c r="C148" s="67"/>
      <c r="D148" s="67"/>
    </row>
    <row r="149">
      <c r="C149" s="67"/>
      <c r="D149" s="67"/>
    </row>
    <row r="150">
      <c r="C150" s="67"/>
      <c r="D150" s="67"/>
    </row>
    <row r="151">
      <c r="C151" s="67"/>
      <c r="D151" s="67"/>
    </row>
    <row r="152">
      <c r="C152" s="67"/>
      <c r="D152" s="67"/>
    </row>
    <row r="153">
      <c r="C153" s="67"/>
      <c r="D153" s="67"/>
    </row>
    <row r="154">
      <c r="C154" s="67"/>
      <c r="D154" s="67"/>
    </row>
    <row r="155">
      <c r="C155" s="67"/>
      <c r="D155" s="67"/>
    </row>
    <row r="156">
      <c r="C156" s="67"/>
      <c r="D156" s="67"/>
    </row>
    <row r="157">
      <c r="C157" s="67"/>
      <c r="D157" s="67"/>
    </row>
    <row r="158">
      <c r="C158" s="67"/>
      <c r="D158" s="67"/>
    </row>
    <row r="159">
      <c r="C159" s="67"/>
      <c r="D159" s="67"/>
    </row>
    <row r="160">
      <c r="C160" s="67"/>
      <c r="D160" s="67"/>
    </row>
    <row r="161">
      <c r="C161" s="67"/>
      <c r="D161" s="67"/>
    </row>
    <row r="162">
      <c r="C162" s="67"/>
      <c r="D162" s="67"/>
    </row>
    <row r="163">
      <c r="C163" s="67"/>
      <c r="D163" s="67"/>
    </row>
    <row r="164">
      <c r="C164" s="67"/>
      <c r="D164" s="67"/>
    </row>
    <row r="165">
      <c r="C165" s="67"/>
      <c r="D165" s="67"/>
    </row>
    <row r="166">
      <c r="C166" s="67"/>
      <c r="D166" s="67"/>
    </row>
    <row r="167">
      <c r="C167" s="67"/>
      <c r="D167" s="67"/>
    </row>
    <row r="168">
      <c r="C168" s="67"/>
      <c r="D168" s="67"/>
    </row>
    <row r="169">
      <c r="C169" s="67"/>
      <c r="D169" s="67"/>
    </row>
    <row r="170">
      <c r="C170" s="67"/>
      <c r="D170" s="67"/>
    </row>
    <row r="171">
      <c r="C171" s="67"/>
      <c r="D171" s="67"/>
    </row>
    <row r="172">
      <c r="C172" s="67"/>
      <c r="D172" s="67"/>
    </row>
    <row r="173">
      <c r="C173" s="67"/>
      <c r="D173" s="67"/>
    </row>
    <row r="174">
      <c r="C174" s="67"/>
      <c r="D174" s="67"/>
    </row>
    <row r="175">
      <c r="C175" s="67"/>
      <c r="D175" s="67"/>
    </row>
    <row r="176">
      <c r="C176" s="67"/>
      <c r="D176" s="67"/>
    </row>
    <row r="177">
      <c r="C177" s="67"/>
      <c r="D177" s="67"/>
    </row>
    <row r="178">
      <c r="C178" s="67"/>
      <c r="D178" s="67"/>
    </row>
    <row r="179">
      <c r="C179" s="67"/>
      <c r="D179" s="67"/>
    </row>
    <row r="180">
      <c r="C180" s="67"/>
      <c r="D180" s="67"/>
    </row>
    <row r="181">
      <c r="C181" s="67"/>
      <c r="D181" s="67"/>
    </row>
    <row r="182">
      <c r="C182" s="67"/>
      <c r="D182" s="67"/>
    </row>
    <row r="183">
      <c r="C183" s="67"/>
      <c r="D183" s="67"/>
    </row>
    <row r="184">
      <c r="C184" s="67"/>
      <c r="D184" s="67"/>
    </row>
    <row r="185">
      <c r="C185" s="67"/>
      <c r="D185" s="67"/>
    </row>
    <row r="186">
      <c r="C186" s="67"/>
      <c r="D186" s="67"/>
    </row>
    <row r="187">
      <c r="C187" s="67"/>
      <c r="D187" s="67"/>
    </row>
    <row r="188">
      <c r="C188" s="67"/>
      <c r="D188" s="67"/>
    </row>
    <row r="189">
      <c r="C189" s="67"/>
      <c r="D189" s="67"/>
    </row>
    <row r="190">
      <c r="C190" s="67"/>
      <c r="D190" s="67"/>
    </row>
    <row r="191">
      <c r="C191" s="67"/>
      <c r="D191" s="67"/>
    </row>
    <row r="192">
      <c r="C192" s="67"/>
      <c r="D192" s="67"/>
    </row>
    <row r="193">
      <c r="C193" s="67"/>
      <c r="D193" s="67"/>
    </row>
    <row r="194">
      <c r="C194" s="67"/>
      <c r="D194" s="67"/>
    </row>
    <row r="195">
      <c r="C195" s="67"/>
      <c r="D195" s="67"/>
    </row>
    <row r="196">
      <c r="C196" s="67"/>
      <c r="D196" s="67"/>
    </row>
    <row r="197">
      <c r="C197" s="67"/>
      <c r="D197" s="67"/>
    </row>
    <row r="198">
      <c r="C198" s="67"/>
      <c r="D198" s="67"/>
    </row>
    <row r="199">
      <c r="C199" s="67"/>
      <c r="D199" s="67"/>
    </row>
    <row r="200">
      <c r="C200" s="67"/>
      <c r="D200" s="67"/>
    </row>
    <row r="201">
      <c r="C201" s="67"/>
      <c r="D201" s="67"/>
    </row>
    <row r="202">
      <c r="C202" s="67"/>
      <c r="D202" s="67"/>
    </row>
    <row r="203">
      <c r="C203" s="67"/>
      <c r="D203" s="67"/>
    </row>
    <row r="204">
      <c r="C204" s="67"/>
      <c r="D204" s="67"/>
    </row>
    <row r="205">
      <c r="C205" s="67"/>
      <c r="D205" s="67"/>
    </row>
    <row r="206">
      <c r="C206" s="67"/>
      <c r="D206" s="67"/>
    </row>
    <row r="207">
      <c r="C207" s="67"/>
      <c r="D207" s="67"/>
    </row>
    <row r="208">
      <c r="C208" s="67"/>
      <c r="D208" s="67"/>
    </row>
    <row r="209">
      <c r="C209" s="67"/>
      <c r="D209" s="67"/>
    </row>
    <row r="210">
      <c r="C210" s="67"/>
      <c r="D210" s="67"/>
    </row>
    <row r="211">
      <c r="C211" s="67"/>
      <c r="D211" s="67"/>
    </row>
    <row r="212">
      <c r="C212" s="67"/>
      <c r="D212" s="67"/>
    </row>
    <row r="213">
      <c r="C213" s="67"/>
      <c r="D213" s="67"/>
    </row>
    <row r="214">
      <c r="C214" s="67"/>
      <c r="D214" s="67"/>
    </row>
    <row r="215">
      <c r="C215" s="67"/>
      <c r="D215" s="67"/>
    </row>
    <row r="216">
      <c r="C216" s="67"/>
      <c r="D216" s="67"/>
    </row>
    <row r="217">
      <c r="C217" s="67"/>
      <c r="D217" s="67"/>
    </row>
    <row r="218">
      <c r="C218" s="67"/>
      <c r="D218" s="67"/>
    </row>
    <row r="219">
      <c r="C219" s="67"/>
      <c r="D219" s="67"/>
    </row>
    <row r="220">
      <c r="C220" s="67"/>
      <c r="D220" s="67"/>
    </row>
    <row r="221">
      <c r="C221" s="67"/>
      <c r="D221" s="67"/>
    </row>
    <row r="222">
      <c r="C222" s="67"/>
      <c r="D222" s="67"/>
    </row>
    <row r="223">
      <c r="C223" s="67"/>
      <c r="D223" s="67"/>
    </row>
    <row r="224">
      <c r="C224" s="67"/>
      <c r="D224" s="67"/>
    </row>
    <row r="225">
      <c r="C225" s="67"/>
      <c r="D225" s="67"/>
    </row>
    <row r="226">
      <c r="C226" s="67"/>
      <c r="D226" s="67"/>
    </row>
    <row r="227">
      <c r="C227" s="67"/>
      <c r="D227" s="67"/>
    </row>
    <row r="228">
      <c r="C228" s="67"/>
      <c r="D228" s="67"/>
    </row>
    <row r="229">
      <c r="C229" s="67"/>
      <c r="D229" s="67"/>
    </row>
    <row r="230">
      <c r="C230" s="67"/>
      <c r="D230" s="67"/>
    </row>
    <row r="231">
      <c r="C231" s="67"/>
      <c r="D231" s="67"/>
    </row>
    <row r="232">
      <c r="C232" s="67"/>
      <c r="D232" s="67"/>
    </row>
    <row r="233">
      <c r="C233" s="67"/>
      <c r="D233" s="67"/>
    </row>
    <row r="234">
      <c r="C234" s="67"/>
      <c r="D234" s="67"/>
    </row>
    <row r="235">
      <c r="C235" s="67"/>
      <c r="D235" s="67"/>
    </row>
    <row r="236">
      <c r="C236" s="67"/>
      <c r="D236" s="67"/>
    </row>
    <row r="237">
      <c r="C237" s="67"/>
      <c r="D237" s="67"/>
    </row>
    <row r="238">
      <c r="C238" s="67"/>
      <c r="D238" s="67"/>
    </row>
    <row r="239">
      <c r="C239" s="67"/>
      <c r="D239" s="67"/>
    </row>
    <row r="240">
      <c r="C240" s="67"/>
      <c r="D240" s="67"/>
    </row>
    <row r="241">
      <c r="C241" s="67"/>
      <c r="D241" s="67"/>
    </row>
    <row r="242">
      <c r="C242" s="67"/>
      <c r="D242" s="67"/>
    </row>
    <row r="243">
      <c r="C243" s="67"/>
      <c r="D243" s="67"/>
    </row>
    <row r="244">
      <c r="C244" s="67"/>
      <c r="D244" s="67"/>
    </row>
    <row r="245">
      <c r="C245" s="67"/>
      <c r="D245" s="67"/>
    </row>
    <row r="246">
      <c r="C246" s="67"/>
      <c r="D246" s="67"/>
    </row>
    <row r="247">
      <c r="C247" s="67"/>
      <c r="D247" s="67"/>
    </row>
    <row r="248">
      <c r="C248" s="67"/>
      <c r="D248" s="67"/>
    </row>
    <row r="249">
      <c r="C249" s="67"/>
      <c r="D249" s="67"/>
    </row>
    <row r="250">
      <c r="C250" s="67"/>
      <c r="D250" s="67"/>
    </row>
    <row r="251">
      <c r="C251" s="67"/>
      <c r="D251" s="67"/>
    </row>
    <row r="252">
      <c r="C252" s="67"/>
      <c r="D252" s="67"/>
    </row>
    <row r="253">
      <c r="C253" s="67"/>
      <c r="D253" s="67"/>
    </row>
    <row r="254">
      <c r="C254" s="67"/>
      <c r="D254" s="67"/>
    </row>
    <row r="255">
      <c r="C255" s="67"/>
      <c r="D255" s="67"/>
    </row>
    <row r="256">
      <c r="C256" s="67"/>
      <c r="D256" s="67"/>
    </row>
    <row r="257">
      <c r="C257" s="67"/>
      <c r="D257" s="67"/>
    </row>
    <row r="258">
      <c r="C258" s="67"/>
      <c r="D258" s="67"/>
    </row>
    <row r="259">
      <c r="C259" s="67"/>
      <c r="D259" s="67"/>
    </row>
    <row r="260">
      <c r="C260" s="67"/>
      <c r="D260" s="67"/>
    </row>
    <row r="261">
      <c r="C261" s="67"/>
      <c r="D261" s="67"/>
    </row>
    <row r="262">
      <c r="C262" s="67"/>
      <c r="D262" s="67"/>
    </row>
    <row r="263">
      <c r="C263" s="67"/>
      <c r="D263" s="67"/>
    </row>
    <row r="264">
      <c r="C264" s="67"/>
      <c r="D264" s="67"/>
    </row>
    <row r="265">
      <c r="C265" s="67"/>
      <c r="D265" s="67"/>
    </row>
    <row r="266">
      <c r="C266" s="67"/>
      <c r="D266" s="67"/>
    </row>
    <row r="267">
      <c r="C267" s="67"/>
      <c r="D267" s="67"/>
    </row>
    <row r="268">
      <c r="C268" s="67"/>
      <c r="D268" s="67"/>
    </row>
    <row r="269">
      <c r="C269" s="67"/>
      <c r="D269" s="67"/>
    </row>
    <row r="270">
      <c r="C270" s="67"/>
      <c r="D270" s="67"/>
    </row>
    <row r="271">
      <c r="C271" s="67"/>
      <c r="D271" s="67"/>
    </row>
    <row r="272">
      <c r="C272" s="67"/>
      <c r="D272" s="67"/>
    </row>
    <row r="273">
      <c r="C273" s="67"/>
      <c r="D273" s="67"/>
    </row>
    <row r="274">
      <c r="C274" s="67"/>
      <c r="D274" s="67"/>
    </row>
    <row r="275">
      <c r="C275" s="67"/>
      <c r="D275" s="67"/>
    </row>
    <row r="276">
      <c r="C276" s="67"/>
      <c r="D276" s="67"/>
    </row>
    <row r="277">
      <c r="C277" s="67"/>
      <c r="D277" s="67"/>
    </row>
    <row r="278">
      <c r="C278" s="67"/>
      <c r="D278" s="67"/>
    </row>
    <row r="279">
      <c r="C279" s="67"/>
      <c r="D279" s="67"/>
    </row>
    <row r="280">
      <c r="C280" s="67"/>
      <c r="D280" s="67"/>
    </row>
    <row r="281">
      <c r="C281" s="67"/>
      <c r="D281" s="67"/>
    </row>
    <row r="282">
      <c r="C282" s="67"/>
      <c r="D282" s="67"/>
    </row>
    <row r="283">
      <c r="C283" s="67"/>
      <c r="D283" s="67"/>
    </row>
    <row r="284">
      <c r="C284" s="67"/>
      <c r="D284" s="67"/>
    </row>
    <row r="285">
      <c r="C285" s="67"/>
      <c r="D285" s="67"/>
    </row>
    <row r="286">
      <c r="C286" s="67"/>
      <c r="D286" s="67"/>
    </row>
    <row r="287">
      <c r="C287" s="67"/>
      <c r="D287" s="67"/>
    </row>
    <row r="288">
      <c r="C288" s="67"/>
      <c r="D288" s="67"/>
    </row>
    <row r="289">
      <c r="C289" s="67"/>
      <c r="D289" s="67"/>
    </row>
    <row r="290">
      <c r="C290" s="67"/>
      <c r="D290" s="67"/>
    </row>
    <row r="291">
      <c r="C291" s="67"/>
      <c r="D291" s="67"/>
    </row>
    <row r="292">
      <c r="C292" s="67"/>
      <c r="D292" s="67"/>
    </row>
    <row r="293">
      <c r="C293" s="67"/>
      <c r="D293" s="67"/>
    </row>
    <row r="294">
      <c r="C294" s="67"/>
      <c r="D294" s="67"/>
    </row>
    <row r="295">
      <c r="C295" s="67"/>
      <c r="D295" s="67"/>
    </row>
    <row r="296">
      <c r="C296" s="67"/>
      <c r="D296" s="67"/>
    </row>
    <row r="297">
      <c r="C297" s="67"/>
      <c r="D297" s="67"/>
    </row>
    <row r="298">
      <c r="C298" s="67"/>
      <c r="D298" s="67"/>
    </row>
    <row r="299">
      <c r="C299" s="67"/>
      <c r="D299" s="67"/>
    </row>
    <row r="300">
      <c r="C300" s="67"/>
      <c r="D300" s="67"/>
    </row>
    <row r="301">
      <c r="C301" s="67"/>
      <c r="D301" s="67"/>
    </row>
    <row r="302">
      <c r="C302" s="67"/>
      <c r="D302" s="67"/>
    </row>
    <row r="303">
      <c r="C303" s="67"/>
      <c r="D303" s="67"/>
    </row>
    <row r="304">
      <c r="C304" s="67"/>
      <c r="D304" s="67"/>
    </row>
    <row r="305">
      <c r="C305" s="67"/>
      <c r="D305" s="67"/>
    </row>
    <row r="306">
      <c r="C306" s="67"/>
      <c r="D306" s="67"/>
    </row>
    <row r="307">
      <c r="C307" s="67"/>
      <c r="D307" s="67"/>
    </row>
    <row r="308">
      <c r="C308" s="67"/>
      <c r="D308" s="67"/>
    </row>
    <row r="309">
      <c r="C309" s="67"/>
      <c r="D309" s="67"/>
    </row>
    <row r="310">
      <c r="C310" s="67"/>
      <c r="D310" s="67"/>
    </row>
    <row r="311">
      <c r="C311" s="67"/>
      <c r="D311" s="67"/>
    </row>
    <row r="312">
      <c r="C312" s="67"/>
      <c r="D312" s="67"/>
    </row>
    <row r="313">
      <c r="C313" s="67"/>
      <c r="D313" s="67"/>
    </row>
    <row r="314">
      <c r="C314" s="67"/>
      <c r="D314" s="67"/>
    </row>
    <row r="315">
      <c r="C315" s="67"/>
      <c r="D315" s="67"/>
    </row>
    <row r="316">
      <c r="C316" s="67"/>
      <c r="D316" s="67"/>
    </row>
    <row r="317">
      <c r="C317" s="67"/>
      <c r="D317" s="67"/>
    </row>
    <row r="318">
      <c r="C318" s="67"/>
      <c r="D318" s="67"/>
    </row>
    <row r="319">
      <c r="C319" s="67"/>
      <c r="D319" s="67"/>
    </row>
    <row r="320">
      <c r="C320" s="67"/>
      <c r="D320" s="67"/>
    </row>
    <row r="321">
      <c r="C321" s="67"/>
      <c r="D321" s="67"/>
    </row>
    <row r="322">
      <c r="C322" s="67"/>
      <c r="D322" s="67"/>
    </row>
    <row r="323">
      <c r="C323" s="67"/>
      <c r="D323" s="67"/>
    </row>
    <row r="324">
      <c r="C324" s="67"/>
      <c r="D324" s="67"/>
    </row>
    <row r="325">
      <c r="C325" s="67"/>
      <c r="D325" s="67"/>
    </row>
    <row r="326">
      <c r="C326" s="67"/>
      <c r="D326" s="67"/>
    </row>
    <row r="327">
      <c r="C327" s="67"/>
      <c r="D327" s="67"/>
    </row>
    <row r="328">
      <c r="C328" s="67"/>
      <c r="D328" s="67"/>
    </row>
    <row r="329">
      <c r="C329" s="67"/>
      <c r="D329" s="67"/>
    </row>
    <row r="330">
      <c r="C330" s="67"/>
      <c r="D330" s="67"/>
    </row>
    <row r="331">
      <c r="C331" s="67"/>
      <c r="D331" s="67"/>
    </row>
    <row r="332">
      <c r="C332" s="67"/>
      <c r="D332" s="67"/>
    </row>
    <row r="333">
      <c r="C333" s="67"/>
      <c r="D333" s="67"/>
    </row>
    <row r="334">
      <c r="C334" s="67"/>
      <c r="D334" s="67"/>
    </row>
    <row r="335">
      <c r="C335" s="67"/>
      <c r="D335" s="67"/>
    </row>
    <row r="336">
      <c r="C336" s="67"/>
      <c r="D336" s="67"/>
    </row>
    <row r="337">
      <c r="C337" s="67"/>
      <c r="D337" s="67"/>
    </row>
    <row r="338">
      <c r="C338" s="67"/>
      <c r="D338" s="67"/>
    </row>
    <row r="339">
      <c r="C339" s="67"/>
      <c r="D339" s="67"/>
    </row>
    <row r="340">
      <c r="C340" s="67"/>
      <c r="D340" s="67"/>
    </row>
    <row r="341">
      <c r="C341" s="67"/>
      <c r="D341" s="67"/>
    </row>
    <row r="342">
      <c r="C342" s="67"/>
      <c r="D342" s="67"/>
    </row>
    <row r="343">
      <c r="C343" s="67"/>
      <c r="D343" s="67"/>
    </row>
    <row r="344">
      <c r="C344" s="67"/>
      <c r="D344" s="67"/>
    </row>
    <row r="345">
      <c r="C345" s="67"/>
      <c r="D345" s="67"/>
    </row>
    <row r="346">
      <c r="C346" s="67"/>
      <c r="D346" s="67"/>
    </row>
    <row r="347">
      <c r="C347" s="67"/>
      <c r="D347" s="67"/>
    </row>
    <row r="348">
      <c r="C348" s="67"/>
      <c r="D348" s="67"/>
    </row>
    <row r="349">
      <c r="C349" s="67"/>
      <c r="D349" s="67"/>
    </row>
    <row r="350">
      <c r="C350" s="67"/>
      <c r="D350" s="67"/>
    </row>
    <row r="351">
      <c r="C351" s="67"/>
      <c r="D351" s="67"/>
    </row>
    <row r="352">
      <c r="C352" s="67"/>
      <c r="D352" s="67"/>
    </row>
    <row r="353">
      <c r="C353" s="67"/>
      <c r="D353" s="67"/>
    </row>
    <row r="354">
      <c r="C354" s="67"/>
      <c r="D354" s="67"/>
    </row>
    <row r="355">
      <c r="C355" s="67"/>
      <c r="D355" s="67"/>
    </row>
    <row r="356">
      <c r="C356" s="67"/>
      <c r="D356" s="67"/>
    </row>
    <row r="357">
      <c r="C357" s="67"/>
      <c r="D357" s="67"/>
    </row>
    <row r="358">
      <c r="C358" s="67"/>
      <c r="D358" s="67"/>
    </row>
    <row r="359">
      <c r="C359" s="67"/>
      <c r="D359" s="67"/>
    </row>
    <row r="360">
      <c r="C360" s="67"/>
      <c r="D360" s="67"/>
    </row>
    <row r="361">
      <c r="C361" s="67"/>
      <c r="D361" s="67"/>
    </row>
    <row r="362">
      <c r="C362" s="67"/>
      <c r="D362" s="67"/>
    </row>
    <row r="363">
      <c r="C363" s="67"/>
      <c r="D363" s="67"/>
    </row>
    <row r="364">
      <c r="C364" s="67"/>
      <c r="D364" s="67"/>
    </row>
    <row r="365">
      <c r="C365" s="67"/>
      <c r="D365" s="67"/>
    </row>
    <row r="366">
      <c r="C366" s="67"/>
      <c r="D366" s="67"/>
    </row>
    <row r="367">
      <c r="C367" s="67"/>
      <c r="D367" s="67"/>
    </row>
    <row r="368">
      <c r="C368" s="67"/>
      <c r="D368" s="67"/>
    </row>
    <row r="369">
      <c r="C369" s="67"/>
      <c r="D369" s="67"/>
    </row>
    <row r="370">
      <c r="C370" s="67"/>
      <c r="D370" s="67"/>
    </row>
    <row r="371">
      <c r="C371" s="67"/>
      <c r="D371" s="67"/>
    </row>
    <row r="372">
      <c r="C372" s="67"/>
      <c r="D372" s="67"/>
    </row>
    <row r="373">
      <c r="C373" s="67"/>
      <c r="D373" s="67"/>
    </row>
    <row r="374">
      <c r="C374" s="67"/>
      <c r="D374" s="67"/>
    </row>
    <row r="375">
      <c r="C375" s="67"/>
      <c r="D375" s="67"/>
    </row>
    <row r="376">
      <c r="C376" s="67"/>
      <c r="D376" s="67"/>
    </row>
    <row r="377">
      <c r="C377" s="67"/>
      <c r="D377" s="67"/>
    </row>
    <row r="378">
      <c r="C378" s="67"/>
      <c r="D378" s="67"/>
    </row>
    <row r="379">
      <c r="C379" s="67"/>
      <c r="D379" s="67"/>
    </row>
    <row r="380">
      <c r="C380" s="67"/>
      <c r="D380" s="67"/>
    </row>
    <row r="381">
      <c r="C381" s="67"/>
      <c r="D381" s="67"/>
    </row>
    <row r="382">
      <c r="C382" s="67"/>
      <c r="D382" s="67"/>
    </row>
    <row r="383">
      <c r="C383" s="67"/>
      <c r="D383" s="67"/>
    </row>
    <row r="384">
      <c r="C384" s="67"/>
      <c r="D384" s="67"/>
    </row>
    <row r="385">
      <c r="C385" s="67"/>
      <c r="D385" s="67"/>
    </row>
    <row r="386">
      <c r="C386" s="67"/>
      <c r="D386" s="67"/>
    </row>
    <row r="387">
      <c r="C387" s="67"/>
      <c r="D387" s="67"/>
    </row>
    <row r="388">
      <c r="C388" s="67"/>
      <c r="D388" s="67"/>
    </row>
    <row r="389">
      <c r="C389" s="67"/>
      <c r="D389" s="67"/>
    </row>
    <row r="390">
      <c r="C390" s="67"/>
      <c r="D390" s="67"/>
    </row>
    <row r="391">
      <c r="C391" s="67"/>
      <c r="D391" s="67"/>
    </row>
    <row r="392">
      <c r="C392" s="67"/>
      <c r="D392" s="67"/>
    </row>
    <row r="393">
      <c r="C393" s="67"/>
      <c r="D393" s="67"/>
    </row>
    <row r="394">
      <c r="C394" s="67"/>
      <c r="D394" s="67"/>
    </row>
    <row r="395">
      <c r="C395" s="67"/>
      <c r="D395" s="67"/>
    </row>
    <row r="396">
      <c r="C396" s="67"/>
      <c r="D396" s="67"/>
    </row>
    <row r="397">
      <c r="C397" s="67"/>
      <c r="D397" s="67"/>
    </row>
    <row r="398">
      <c r="C398" s="67"/>
      <c r="D398" s="67"/>
    </row>
    <row r="399">
      <c r="C399" s="67"/>
      <c r="D399" s="67"/>
    </row>
    <row r="400">
      <c r="C400" s="67"/>
      <c r="D400" s="67"/>
    </row>
    <row r="401">
      <c r="C401" s="67"/>
      <c r="D401" s="67"/>
    </row>
    <row r="402">
      <c r="C402" s="67"/>
      <c r="D402" s="67"/>
    </row>
    <row r="403">
      <c r="C403" s="67"/>
      <c r="D403" s="67"/>
    </row>
    <row r="404">
      <c r="C404" s="67"/>
      <c r="D404" s="67"/>
    </row>
    <row r="405">
      <c r="C405" s="67"/>
      <c r="D405" s="67"/>
    </row>
    <row r="406">
      <c r="C406" s="67"/>
      <c r="D406" s="67"/>
    </row>
    <row r="407">
      <c r="C407" s="67"/>
      <c r="D407" s="67"/>
    </row>
    <row r="408">
      <c r="C408" s="67"/>
      <c r="D408" s="67"/>
    </row>
    <row r="409">
      <c r="C409" s="67"/>
      <c r="D409" s="67"/>
    </row>
    <row r="410">
      <c r="C410" s="67"/>
      <c r="D410" s="67"/>
    </row>
    <row r="411">
      <c r="C411" s="67"/>
      <c r="D411" s="67"/>
    </row>
    <row r="412">
      <c r="C412" s="67"/>
      <c r="D412" s="67"/>
    </row>
    <row r="413">
      <c r="C413" s="67"/>
      <c r="D413" s="67"/>
    </row>
    <row r="414">
      <c r="C414" s="67"/>
      <c r="D414" s="67"/>
    </row>
    <row r="415">
      <c r="C415" s="67"/>
      <c r="D415" s="67"/>
    </row>
    <row r="416">
      <c r="C416" s="67"/>
      <c r="D416" s="67"/>
    </row>
    <row r="417">
      <c r="C417" s="67"/>
      <c r="D417" s="67"/>
    </row>
    <row r="418">
      <c r="C418" s="67"/>
      <c r="D418" s="67"/>
    </row>
    <row r="419">
      <c r="C419" s="67"/>
      <c r="D419" s="67"/>
    </row>
    <row r="420">
      <c r="C420" s="67"/>
      <c r="D420" s="67"/>
    </row>
    <row r="421">
      <c r="C421" s="67"/>
      <c r="D421" s="67"/>
    </row>
    <row r="422">
      <c r="C422" s="67"/>
      <c r="D422" s="67"/>
    </row>
    <row r="423">
      <c r="C423" s="67"/>
      <c r="D423" s="67"/>
    </row>
    <row r="424">
      <c r="C424" s="67"/>
      <c r="D424" s="67"/>
    </row>
    <row r="425">
      <c r="C425" s="67"/>
      <c r="D425" s="67"/>
    </row>
    <row r="426">
      <c r="C426" s="67"/>
      <c r="D426" s="67"/>
    </row>
    <row r="427">
      <c r="C427" s="67"/>
      <c r="D427" s="67"/>
    </row>
    <row r="428">
      <c r="C428" s="67"/>
      <c r="D428" s="67"/>
    </row>
    <row r="429">
      <c r="C429" s="67"/>
      <c r="D429" s="67"/>
    </row>
    <row r="430">
      <c r="C430" s="67"/>
      <c r="D430" s="67"/>
    </row>
    <row r="431">
      <c r="C431" s="67"/>
      <c r="D431" s="67"/>
    </row>
    <row r="432">
      <c r="C432" s="67"/>
      <c r="D432" s="67"/>
    </row>
    <row r="433">
      <c r="C433" s="67"/>
      <c r="D433" s="67"/>
    </row>
    <row r="434">
      <c r="C434" s="67"/>
      <c r="D434" s="67"/>
    </row>
    <row r="435">
      <c r="C435" s="67"/>
      <c r="D435" s="67"/>
    </row>
    <row r="436">
      <c r="C436" s="67"/>
      <c r="D436" s="67"/>
    </row>
    <row r="437">
      <c r="C437" s="67"/>
      <c r="D437" s="67"/>
    </row>
    <row r="438">
      <c r="C438" s="67"/>
      <c r="D438" s="67"/>
    </row>
    <row r="439">
      <c r="C439" s="67"/>
      <c r="D439" s="67"/>
    </row>
    <row r="440">
      <c r="C440" s="67"/>
      <c r="D440" s="67"/>
    </row>
    <row r="441">
      <c r="C441" s="67"/>
      <c r="D441" s="67"/>
    </row>
    <row r="442">
      <c r="C442" s="67"/>
      <c r="D442" s="67"/>
    </row>
    <row r="443">
      <c r="C443" s="67"/>
      <c r="D443" s="67"/>
    </row>
    <row r="444">
      <c r="C444" s="67"/>
      <c r="D444" s="67"/>
    </row>
    <row r="445">
      <c r="C445" s="67"/>
      <c r="D445" s="67"/>
    </row>
    <row r="446">
      <c r="C446" s="67"/>
      <c r="D446" s="67"/>
    </row>
    <row r="447">
      <c r="C447" s="67"/>
      <c r="D447" s="67"/>
    </row>
    <row r="448">
      <c r="C448" s="67"/>
      <c r="D448" s="67"/>
    </row>
    <row r="449">
      <c r="C449" s="67"/>
      <c r="D449" s="67"/>
    </row>
    <row r="450">
      <c r="C450" s="67"/>
      <c r="D450" s="67"/>
    </row>
    <row r="451">
      <c r="C451" s="67"/>
      <c r="D451" s="67"/>
    </row>
    <row r="452">
      <c r="C452" s="67"/>
      <c r="D452" s="67"/>
    </row>
    <row r="453">
      <c r="C453" s="67"/>
      <c r="D453" s="67"/>
    </row>
    <row r="454">
      <c r="C454" s="67"/>
      <c r="D454" s="67"/>
    </row>
    <row r="455">
      <c r="C455" s="67"/>
      <c r="D455" s="67"/>
    </row>
    <row r="456">
      <c r="C456" s="67"/>
      <c r="D456" s="67"/>
    </row>
    <row r="457">
      <c r="C457" s="67"/>
      <c r="D457" s="67"/>
    </row>
    <row r="458">
      <c r="C458" s="67"/>
      <c r="D458" s="67"/>
    </row>
    <row r="459">
      <c r="C459" s="67"/>
      <c r="D459" s="67"/>
    </row>
    <row r="460">
      <c r="C460" s="67"/>
      <c r="D460" s="67"/>
    </row>
    <row r="461">
      <c r="C461" s="67"/>
      <c r="D461" s="67"/>
    </row>
    <row r="462">
      <c r="C462" s="67"/>
      <c r="D462" s="67"/>
    </row>
    <row r="463">
      <c r="C463" s="67"/>
      <c r="D463" s="67"/>
    </row>
    <row r="464">
      <c r="C464" s="67"/>
      <c r="D464" s="67"/>
    </row>
    <row r="465">
      <c r="C465" s="67"/>
      <c r="D465" s="67"/>
    </row>
    <row r="466">
      <c r="C466" s="67"/>
      <c r="D466" s="67"/>
    </row>
    <row r="467">
      <c r="C467" s="67"/>
      <c r="D467" s="67"/>
    </row>
    <row r="468">
      <c r="C468" s="67"/>
      <c r="D468" s="67"/>
    </row>
    <row r="469">
      <c r="C469" s="67"/>
      <c r="D469" s="67"/>
    </row>
    <row r="470">
      <c r="C470" s="67"/>
      <c r="D470" s="67"/>
    </row>
    <row r="471">
      <c r="C471" s="67"/>
      <c r="D471" s="67"/>
    </row>
    <row r="472">
      <c r="C472" s="67"/>
      <c r="D472" s="67"/>
    </row>
    <row r="473">
      <c r="C473" s="67"/>
      <c r="D473" s="67"/>
    </row>
    <row r="474">
      <c r="C474" s="67"/>
      <c r="D474" s="67"/>
    </row>
    <row r="475">
      <c r="C475" s="67"/>
      <c r="D475" s="67"/>
    </row>
    <row r="476">
      <c r="C476" s="67"/>
      <c r="D476" s="67"/>
    </row>
    <row r="477">
      <c r="C477" s="67"/>
      <c r="D477" s="67"/>
    </row>
    <row r="478">
      <c r="C478" s="67"/>
      <c r="D478" s="67"/>
    </row>
    <row r="479">
      <c r="C479" s="67"/>
      <c r="D479" s="67"/>
    </row>
    <row r="480">
      <c r="C480" s="67"/>
      <c r="D480" s="67"/>
    </row>
    <row r="481">
      <c r="C481" s="67"/>
      <c r="D481" s="67"/>
    </row>
    <row r="482">
      <c r="C482" s="67"/>
      <c r="D482" s="67"/>
    </row>
    <row r="483">
      <c r="C483" s="67"/>
      <c r="D483" s="67"/>
    </row>
    <row r="484">
      <c r="C484" s="67"/>
      <c r="D484" s="67"/>
    </row>
    <row r="485">
      <c r="C485" s="67"/>
      <c r="D485" s="67"/>
    </row>
    <row r="486">
      <c r="C486" s="67"/>
      <c r="D486" s="67"/>
    </row>
    <row r="487">
      <c r="C487" s="67"/>
      <c r="D487" s="67"/>
    </row>
    <row r="488">
      <c r="C488" s="67"/>
      <c r="D488" s="67"/>
    </row>
    <row r="489">
      <c r="C489" s="67"/>
      <c r="D489" s="67"/>
    </row>
    <row r="490">
      <c r="C490" s="67"/>
      <c r="D490" s="67"/>
    </row>
    <row r="491">
      <c r="C491" s="67"/>
      <c r="D491" s="67"/>
    </row>
    <row r="492">
      <c r="C492" s="67"/>
      <c r="D492" s="67"/>
    </row>
    <row r="493">
      <c r="C493" s="67"/>
      <c r="D493" s="67"/>
    </row>
    <row r="494">
      <c r="C494" s="67"/>
      <c r="D494" s="67"/>
    </row>
    <row r="495">
      <c r="C495" s="67"/>
      <c r="D495" s="67"/>
    </row>
    <row r="496">
      <c r="C496" s="67"/>
      <c r="D496" s="67"/>
    </row>
    <row r="497">
      <c r="C497" s="67"/>
      <c r="D497" s="67"/>
    </row>
    <row r="498">
      <c r="C498" s="67"/>
      <c r="D498" s="67"/>
    </row>
    <row r="499">
      <c r="C499" s="67"/>
      <c r="D499" s="67"/>
    </row>
    <row r="500">
      <c r="C500" s="67"/>
      <c r="D500" s="67"/>
    </row>
    <row r="501">
      <c r="C501" s="67"/>
      <c r="D501" s="67"/>
    </row>
    <row r="502">
      <c r="C502" s="67"/>
      <c r="D502" s="67"/>
    </row>
    <row r="503">
      <c r="C503" s="67"/>
      <c r="D503" s="67"/>
    </row>
    <row r="504">
      <c r="C504" s="67"/>
      <c r="D504" s="67"/>
    </row>
    <row r="505">
      <c r="C505" s="67"/>
      <c r="D505" s="67"/>
    </row>
    <row r="506">
      <c r="C506" s="67"/>
      <c r="D506" s="67"/>
    </row>
    <row r="507">
      <c r="C507" s="67"/>
      <c r="D507" s="67"/>
    </row>
    <row r="508">
      <c r="C508" s="67"/>
      <c r="D508" s="67"/>
    </row>
    <row r="509">
      <c r="C509" s="67"/>
      <c r="D509" s="67"/>
    </row>
    <row r="510">
      <c r="C510" s="67"/>
      <c r="D510" s="67"/>
    </row>
    <row r="511">
      <c r="C511" s="67"/>
      <c r="D511" s="67"/>
    </row>
    <row r="512">
      <c r="C512" s="67"/>
      <c r="D512" s="67"/>
    </row>
    <row r="513">
      <c r="C513" s="67"/>
      <c r="D513" s="67"/>
    </row>
    <row r="514">
      <c r="C514" s="67"/>
      <c r="D514" s="67"/>
    </row>
    <row r="515">
      <c r="C515" s="67"/>
      <c r="D515" s="67"/>
    </row>
    <row r="516">
      <c r="C516" s="67"/>
      <c r="D516" s="67"/>
    </row>
    <row r="517">
      <c r="C517" s="67"/>
      <c r="D517" s="67"/>
    </row>
    <row r="518">
      <c r="C518" s="67"/>
      <c r="D518" s="67"/>
    </row>
    <row r="519">
      <c r="C519" s="67"/>
      <c r="D519" s="67"/>
    </row>
    <row r="520">
      <c r="C520" s="67"/>
      <c r="D520" s="67"/>
    </row>
    <row r="521">
      <c r="C521" s="67"/>
      <c r="D521" s="67"/>
    </row>
    <row r="522">
      <c r="C522" s="67"/>
      <c r="D522" s="67"/>
    </row>
    <row r="523">
      <c r="C523" s="67"/>
      <c r="D523" s="67"/>
    </row>
    <row r="524">
      <c r="C524" s="67"/>
      <c r="D524" s="67"/>
    </row>
    <row r="525">
      <c r="C525" s="67"/>
      <c r="D525" s="67"/>
    </row>
    <row r="526">
      <c r="C526" s="67"/>
      <c r="D526" s="67"/>
    </row>
    <row r="527">
      <c r="C527" s="67"/>
      <c r="D527" s="67"/>
    </row>
    <row r="528">
      <c r="C528" s="67"/>
      <c r="D528" s="67"/>
    </row>
    <row r="529">
      <c r="C529" s="67"/>
      <c r="D529" s="67"/>
    </row>
    <row r="530">
      <c r="C530" s="67"/>
      <c r="D530" s="67"/>
    </row>
    <row r="531">
      <c r="C531" s="67"/>
      <c r="D531" s="67"/>
    </row>
    <row r="532">
      <c r="C532" s="67"/>
      <c r="D532" s="67"/>
    </row>
    <row r="533">
      <c r="C533" s="67"/>
      <c r="D533" s="67"/>
    </row>
    <row r="534">
      <c r="C534" s="67"/>
      <c r="D534" s="67"/>
    </row>
    <row r="535">
      <c r="C535" s="67"/>
      <c r="D535" s="67"/>
    </row>
    <row r="536">
      <c r="C536" s="67"/>
      <c r="D536" s="67"/>
    </row>
    <row r="537">
      <c r="C537" s="67"/>
      <c r="D537" s="67"/>
    </row>
    <row r="538">
      <c r="C538" s="67"/>
      <c r="D538" s="67"/>
    </row>
    <row r="539">
      <c r="C539" s="67"/>
      <c r="D539" s="67"/>
    </row>
    <row r="540">
      <c r="C540" s="67"/>
      <c r="D540" s="67"/>
    </row>
    <row r="541">
      <c r="C541" s="67"/>
      <c r="D541" s="67"/>
    </row>
    <row r="542">
      <c r="C542" s="67"/>
      <c r="D542" s="67"/>
    </row>
    <row r="543">
      <c r="C543" s="67"/>
      <c r="D543" s="67"/>
    </row>
    <row r="544">
      <c r="C544" s="67"/>
      <c r="D544" s="67"/>
    </row>
    <row r="545">
      <c r="C545" s="67"/>
      <c r="D545" s="67"/>
    </row>
    <row r="546">
      <c r="C546" s="67"/>
      <c r="D546" s="67"/>
    </row>
    <row r="547">
      <c r="C547" s="67"/>
      <c r="D547" s="67"/>
    </row>
    <row r="548">
      <c r="C548" s="67"/>
      <c r="D548" s="67"/>
    </row>
    <row r="549">
      <c r="C549" s="67"/>
      <c r="D549" s="67"/>
    </row>
    <row r="550">
      <c r="C550" s="67"/>
      <c r="D550" s="67"/>
    </row>
    <row r="551">
      <c r="C551" s="67"/>
      <c r="D551" s="67"/>
    </row>
    <row r="552">
      <c r="C552" s="67"/>
      <c r="D552" s="67"/>
    </row>
    <row r="553">
      <c r="C553" s="67"/>
      <c r="D553" s="67"/>
    </row>
    <row r="554">
      <c r="C554" s="67"/>
      <c r="D554" s="67"/>
    </row>
    <row r="555">
      <c r="C555" s="67"/>
      <c r="D555" s="67"/>
    </row>
    <row r="556">
      <c r="C556" s="67"/>
      <c r="D556" s="67"/>
    </row>
    <row r="557">
      <c r="C557" s="67"/>
      <c r="D557" s="67"/>
    </row>
    <row r="558">
      <c r="C558" s="67"/>
      <c r="D558" s="67"/>
    </row>
    <row r="559">
      <c r="C559" s="67"/>
      <c r="D559" s="67"/>
    </row>
    <row r="560">
      <c r="C560" s="67"/>
      <c r="D560" s="67"/>
    </row>
    <row r="561">
      <c r="C561" s="67"/>
      <c r="D561" s="67"/>
    </row>
    <row r="562">
      <c r="C562" s="67"/>
      <c r="D562" s="67"/>
    </row>
    <row r="563">
      <c r="C563" s="67"/>
      <c r="D563" s="67"/>
    </row>
    <row r="564">
      <c r="C564" s="67"/>
      <c r="D564" s="67"/>
    </row>
    <row r="565">
      <c r="C565" s="67"/>
      <c r="D565" s="67"/>
    </row>
    <row r="566">
      <c r="C566" s="67"/>
      <c r="D566" s="67"/>
    </row>
    <row r="567">
      <c r="C567" s="67"/>
      <c r="D567" s="67"/>
    </row>
    <row r="568">
      <c r="C568" s="67"/>
      <c r="D568" s="67"/>
    </row>
    <row r="569">
      <c r="C569" s="67"/>
      <c r="D569" s="67"/>
    </row>
    <row r="570">
      <c r="C570" s="67"/>
      <c r="D570" s="67"/>
    </row>
    <row r="571">
      <c r="C571" s="67"/>
      <c r="D571" s="67"/>
    </row>
    <row r="572">
      <c r="C572" s="67"/>
      <c r="D572" s="67"/>
    </row>
    <row r="573">
      <c r="C573" s="67"/>
      <c r="D573" s="67"/>
    </row>
    <row r="574">
      <c r="C574" s="67"/>
      <c r="D574" s="67"/>
    </row>
    <row r="575">
      <c r="C575" s="67"/>
      <c r="D575" s="67"/>
    </row>
    <row r="576">
      <c r="C576" s="67"/>
      <c r="D576" s="67"/>
    </row>
    <row r="577">
      <c r="C577" s="67"/>
      <c r="D577" s="67"/>
    </row>
    <row r="578">
      <c r="C578" s="67"/>
      <c r="D578" s="67"/>
    </row>
    <row r="579">
      <c r="C579" s="67"/>
      <c r="D579" s="67"/>
    </row>
    <row r="580">
      <c r="C580" s="67"/>
      <c r="D580" s="67"/>
    </row>
    <row r="581">
      <c r="C581" s="67"/>
      <c r="D581" s="67"/>
    </row>
    <row r="582">
      <c r="C582" s="67"/>
      <c r="D582" s="67"/>
    </row>
    <row r="583">
      <c r="C583" s="67"/>
      <c r="D583" s="67"/>
    </row>
    <row r="584">
      <c r="C584" s="67"/>
      <c r="D584" s="67"/>
    </row>
    <row r="585">
      <c r="C585" s="67"/>
      <c r="D585" s="67"/>
    </row>
    <row r="586">
      <c r="C586" s="67"/>
      <c r="D586" s="67"/>
    </row>
    <row r="587">
      <c r="C587" s="67"/>
      <c r="D587" s="67"/>
    </row>
    <row r="588">
      <c r="C588" s="67"/>
      <c r="D588" s="67"/>
    </row>
    <row r="589">
      <c r="C589" s="67"/>
      <c r="D589" s="67"/>
    </row>
    <row r="590">
      <c r="C590" s="67"/>
      <c r="D590" s="67"/>
    </row>
    <row r="591">
      <c r="C591" s="67"/>
      <c r="D591" s="67"/>
    </row>
    <row r="592">
      <c r="C592" s="67"/>
      <c r="D592" s="67"/>
    </row>
    <row r="593">
      <c r="C593" s="67"/>
      <c r="D593" s="67"/>
    </row>
    <row r="594">
      <c r="C594" s="67"/>
      <c r="D594" s="67"/>
    </row>
    <row r="595">
      <c r="C595" s="67"/>
      <c r="D595" s="67"/>
    </row>
    <row r="596">
      <c r="C596" s="67"/>
      <c r="D596" s="67"/>
    </row>
    <row r="597">
      <c r="C597" s="67"/>
      <c r="D597" s="67"/>
    </row>
    <row r="598">
      <c r="C598" s="67"/>
      <c r="D598" s="67"/>
    </row>
    <row r="599">
      <c r="C599" s="67"/>
      <c r="D599" s="67"/>
    </row>
    <row r="600">
      <c r="C600" s="67"/>
      <c r="D600" s="67"/>
    </row>
    <row r="601">
      <c r="C601" s="67"/>
      <c r="D601" s="67"/>
    </row>
    <row r="602">
      <c r="C602" s="67"/>
      <c r="D602" s="67"/>
    </row>
    <row r="603">
      <c r="C603" s="67"/>
      <c r="D603" s="67"/>
    </row>
    <row r="604">
      <c r="C604" s="67"/>
      <c r="D604" s="67"/>
    </row>
    <row r="605">
      <c r="C605" s="67"/>
      <c r="D605" s="67"/>
    </row>
    <row r="606">
      <c r="C606" s="67"/>
      <c r="D606" s="67"/>
    </row>
    <row r="607">
      <c r="C607" s="67"/>
      <c r="D607" s="67"/>
    </row>
    <row r="608">
      <c r="C608" s="67"/>
      <c r="D608" s="67"/>
    </row>
    <row r="609">
      <c r="C609" s="67"/>
      <c r="D609" s="67"/>
    </row>
    <row r="610">
      <c r="C610" s="67"/>
      <c r="D610" s="67"/>
    </row>
    <row r="611">
      <c r="C611" s="67"/>
      <c r="D611" s="67"/>
    </row>
    <row r="612">
      <c r="C612" s="67"/>
      <c r="D612" s="67"/>
    </row>
    <row r="613">
      <c r="C613" s="67"/>
      <c r="D613" s="67"/>
    </row>
    <row r="614">
      <c r="C614" s="67"/>
      <c r="D614" s="67"/>
    </row>
    <row r="615">
      <c r="C615" s="67"/>
      <c r="D615" s="67"/>
    </row>
    <row r="616">
      <c r="C616" s="67"/>
      <c r="D616" s="67"/>
    </row>
    <row r="617">
      <c r="C617" s="67"/>
      <c r="D617" s="67"/>
    </row>
    <row r="618">
      <c r="C618" s="67"/>
      <c r="D618" s="67"/>
    </row>
    <row r="619">
      <c r="C619" s="67"/>
      <c r="D619" s="67"/>
    </row>
    <row r="620">
      <c r="C620" s="67"/>
      <c r="D620" s="67"/>
    </row>
    <row r="621">
      <c r="C621" s="67"/>
      <c r="D621" s="67"/>
    </row>
    <row r="622">
      <c r="C622" s="67"/>
      <c r="D622" s="67"/>
    </row>
    <row r="623">
      <c r="C623" s="67"/>
      <c r="D623" s="67"/>
    </row>
    <row r="624">
      <c r="C624" s="67"/>
      <c r="D624" s="67"/>
    </row>
    <row r="625">
      <c r="C625" s="67"/>
      <c r="D625" s="67"/>
    </row>
    <row r="626">
      <c r="C626" s="67"/>
      <c r="D626" s="67"/>
    </row>
    <row r="627">
      <c r="C627" s="67"/>
      <c r="D627" s="67"/>
    </row>
    <row r="628">
      <c r="C628" s="67"/>
      <c r="D628" s="67"/>
    </row>
    <row r="629">
      <c r="C629" s="67"/>
      <c r="D629" s="67"/>
    </row>
    <row r="630">
      <c r="C630" s="67"/>
      <c r="D630" s="67"/>
    </row>
    <row r="631">
      <c r="C631" s="67"/>
      <c r="D631" s="67"/>
    </row>
    <row r="632">
      <c r="C632" s="67"/>
      <c r="D632" s="67"/>
    </row>
    <row r="633">
      <c r="C633" s="67"/>
      <c r="D633" s="67"/>
    </row>
    <row r="634">
      <c r="C634" s="67"/>
      <c r="D634" s="67"/>
    </row>
    <row r="635">
      <c r="C635" s="67"/>
      <c r="D635" s="67"/>
    </row>
    <row r="636">
      <c r="C636" s="67"/>
      <c r="D636" s="67"/>
    </row>
    <row r="637">
      <c r="C637" s="67"/>
      <c r="D637" s="67"/>
    </row>
    <row r="638">
      <c r="C638" s="67"/>
      <c r="D638" s="67"/>
    </row>
    <row r="639">
      <c r="C639" s="67"/>
      <c r="D639" s="67"/>
    </row>
    <row r="640">
      <c r="C640" s="67"/>
      <c r="D640" s="67"/>
    </row>
    <row r="641">
      <c r="C641" s="67"/>
      <c r="D641" s="67"/>
    </row>
    <row r="642">
      <c r="C642" s="67"/>
      <c r="D642" s="67"/>
    </row>
    <row r="643">
      <c r="C643" s="67"/>
      <c r="D643" s="67"/>
    </row>
    <row r="644">
      <c r="C644" s="67"/>
      <c r="D644" s="67"/>
    </row>
    <row r="645">
      <c r="C645" s="67"/>
      <c r="D645" s="67"/>
    </row>
    <row r="646">
      <c r="C646" s="67"/>
      <c r="D646" s="67"/>
    </row>
    <row r="647">
      <c r="C647" s="67"/>
      <c r="D647" s="67"/>
    </row>
    <row r="648">
      <c r="C648" s="67"/>
      <c r="D648" s="67"/>
    </row>
    <row r="649">
      <c r="C649" s="67"/>
      <c r="D649" s="67"/>
    </row>
    <row r="650">
      <c r="C650" s="67"/>
      <c r="D650" s="67"/>
    </row>
    <row r="651">
      <c r="C651" s="67"/>
      <c r="D651" s="67"/>
    </row>
    <row r="652">
      <c r="C652" s="67"/>
      <c r="D652" s="67"/>
    </row>
    <row r="653">
      <c r="C653" s="67"/>
      <c r="D653" s="67"/>
    </row>
    <row r="654">
      <c r="C654" s="67"/>
      <c r="D654" s="67"/>
    </row>
    <row r="655">
      <c r="C655" s="67"/>
      <c r="D655" s="67"/>
    </row>
    <row r="656">
      <c r="C656" s="67"/>
      <c r="D656" s="67"/>
    </row>
    <row r="657">
      <c r="C657" s="67"/>
      <c r="D657" s="67"/>
    </row>
    <row r="658">
      <c r="C658" s="67"/>
      <c r="D658" s="67"/>
    </row>
    <row r="659">
      <c r="C659" s="67"/>
      <c r="D659" s="67"/>
    </row>
    <row r="660">
      <c r="C660" s="67"/>
      <c r="D660" s="67"/>
    </row>
    <row r="661">
      <c r="C661" s="67"/>
      <c r="D661" s="67"/>
    </row>
    <row r="662">
      <c r="C662" s="67"/>
      <c r="D662" s="67"/>
    </row>
    <row r="663">
      <c r="C663" s="67"/>
      <c r="D663" s="67"/>
    </row>
    <row r="664">
      <c r="C664" s="67"/>
      <c r="D664" s="67"/>
    </row>
    <row r="665">
      <c r="C665" s="67"/>
      <c r="D665" s="67"/>
    </row>
    <row r="666">
      <c r="C666" s="67"/>
      <c r="D666" s="67"/>
    </row>
    <row r="667">
      <c r="C667" s="67"/>
      <c r="D667" s="67"/>
    </row>
    <row r="668">
      <c r="C668" s="67"/>
      <c r="D668" s="67"/>
    </row>
    <row r="669">
      <c r="C669" s="67"/>
      <c r="D669" s="67"/>
    </row>
    <row r="670">
      <c r="C670" s="67"/>
      <c r="D670" s="67"/>
    </row>
    <row r="671">
      <c r="C671" s="67"/>
      <c r="D671" s="67"/>
    </row>
    <row r="672">
      <c r="C672" s="67"/>
      <c r="D672" s="67"/>
    </row>
    <row r="673">
      <c r="C673" s="67"/>
      <c r="D673" s="67"/>
    </row>
    <row r="674">
      <c r="C674" s="67"/>
      <c r="D674" s="67"/>
    </row>
    <row r="675">
      <c r="C675" s="67"/>
      <c r="D675" s="67"/>
    </row>
    <row r="676">
      <c r="C676" s="67"/>
      <c r="D676" s="67"/>
    </row>
    <row r="677">
      <c r="C677" s="67"/>
      <c r="D677" s="67"/>
    </row>
    <row r="678">
      <c r="C678" s="67"/>
      <c r="D678" s="67"/>
    </row>
    <row r="679">
      <c r="C679" s="67"/>
      <c r="D679" s="67"/>
    </row>
    <row r="680">
      <c r="C680" s="67"/>
      <c r="D680" s="67"/>
    </row>
    <row r="681">
      <c r="C681" s="67"/>
      <c r="D681" s="67"/>
    </row>
    <row r="682">
      <c r="C682" s="67"/>
      <c r="D682" s="67"/>
    </row>
    <row r="683">
      <c r="C683" s="67"/>
      <c r="D683" s="67"/>
    </row>
    <row r="684">
      <c r="C684" s="67"/>
      <c r="D684" s="67"/>
    </row>
    <row r="685">
      <c r="C685" s="67"/>
      <c r="D685" s="67"/>
    </row>
    <row r="686">
      <c r="C686" s="67"/>
      <c r="D686" s="67"/>
    </row>
    <row r="687">
      <c r="C687" s="67"/>
      <c r="D687" s="67"/>
    </row>
    <row r="688">
      <c r="C688" s="67"/>
      <c r="D688" s="67"/>
    </row>
    <row r="689">
      <c r="C689" s="67"/>
      <c r="D689" s="67"/>
    </row>
    <row r="690">
      <c r="C690" s="67"/>
      <c r="D690" s="67"/>
    </row>
    <row r="691">
      <c r="C691" s="67"/>
      <c r="D691" s="67"/>
    </row>
    <row r="692">
      <c r="C692" s="67"/>
      <c r="D692" s="67"/>
    </row>
    <row r="693">
      <c r="C693" s="67"/>
      <c r="D693" s="67"/>
    </row>
    <row r="694">
      <c r="C694" s="67"/>
      <c r="D694" s="67"/>
    </row>
    <row r="695">
      <c r="C695" s="67"/>
      <c r="D695" s="67"/>
    </row>
    <row r="696">
      <c r="C696" s="67"/>
      <c r="D696" s="67"/>
    </row>
    <row r="697">
      <c r="C697" s="67"/>
      <c r="D697" s="67"/>
    </row>
    <row r="698">
      <c r="C698" s="67"/>
      <c r="D698" s="67"/>
    </row>
    <row r="699">
      <c r="C699" s="67"/>
      <c r="D699" s="67"/>
    </row>
    <row r="700">
      <c r="C700" s="67"/>
      <c r="D700" s="67"/>
    </row>
    <row r="701">
      <c r="C701" s="67"/>
      <c r="D701" s="67"/>
    </row>
    <row r="702">
      <c r="C702" s="67"/>
      <c r="D702" s="67"/>
    </row>
    <row r="703">
      <c r="C703" s="67"/>
      <c r="D703" s="67"/>
    </row>
    <row r="704">
      <c r="C704" s="67"/>
      <c r="D704" s="67"/>
    </row>
    <row r="705">
      <c r="C705" s="67"/>
      <c r="D705" s="67"/>
    </row>
    <row r="706">
      <c r="C706" s="67"/>
      <c r="D706" s="67"/>
    </row>
    <row r="707">
      <c r="C707" s="67"/>
      <c r="D707" s="67"/>
    </row>
    <row r="708">
      <c r="C708" s="67"/>
      <c r="D708" s="67"/>
    </row>
    <row r="709">
      <c r="C709" s="67"/>
      <c r="D709" s="67"/>
    </row>
    <row r="710">
      <c r="C710" s="67"/>
      <c r="D710" s="67"/>
    </row>
    <row r="711">
      <c r="C711" s="67"/>
      <c r="D711" s="67"/>
    </row>
    <row r="712">
      <c r="C712" s="67"/>
      <c r="D712" s="67"/>
    </row>
    <row r="713">
      <c r="C713" s="67"/>
      <c r="D713" s="67"/>
    </row>
    <row r="714">
      <c r="C714" s="67"/>
      <c r="D714" s="67"/>
    </row>
    <row r="715">
      <c r="C715" s="67"/>
      <c r="D715" s="67"/>
    </row>
    <row r="716">
      <c r="C716" s="67"/>
      <c r="D716" s="67"/>
    </row>
    <row r="717">
      <c r="C717" s="67"/>
      <c r="D717" s="67"/>
    </row>
    <row r="718">
      <c r="C718" s="67"/>
      <c r="D718" s="67"/>
    </row>
    <row r="719">
      <c r="C719" s="67"/>
      <c r="D719" s="67"/>
    </row>
    <row r="720">
      <c r="C720" s="67"/>
      <c r="D720" s="67"/>
    </row>
    <row r="721">
      <c r="C721" s="67"/>
      <c r="D721" s="67"/>
    </row>
    <row r="722">
      <c r="C722" s="67"/>
      <c r="D722" s="67"/>
    </row>
    <row r="723">
      <c r="C723" s="67"/>
      <c r="D723" s="67"/>
    </row>
    <row r="724">
      <c r="C724" s="67"/>
      <c r="D724" s="67"/>
    </row>
    <row r="725">
      <c r="C725" s="67"/>
      <c r="D725" s="67"/>
    </row>
    <row r="726">
      <c r="C726" s="67"/>
      <c r="D726" s="67"/>
    </row>
    <row r="727">
      <c r="C727" s="67"/>
      <c r="D727" s="67"/>
    </row>
    <row r="728">
      <c r="C728" s="67"/>
      <c r="D728" s="67"/>
    </row>
    <row r="729">
      <c r="C729" s="67"/>
      <c r="D729" s="67"/>
    </row>
    <row r="730">
      <c r="C730" s="67"/>
      <c r="D730" s="67"/>
    </row>
    <row r="731">
      <c r="C731" s="67"/>
      <c r="D731" s="67"/>
    </row>
    <row r="732">
      <c r="C732" s="67"/>
      <c r="D732" s="67"/>
    </row>
    <row r="733">
      <c r="C733" s="67"/>
      <c r="D733" s="67"/>
    </row>
    <row r="734">
      <c r="C734" s="67"/>
      <c r="D734" s="67"/>
    </row>
    <row r="735">
      <c r="C735" s="67"/>
      <c r="D735" s="67"/>
    </row>
    <row r="736">
      <c r="C736" s="67"/>
      <c r="D736" s="67"/>
    </row>
    <row r="737">
      <c r="C737" s="67"/>
      <c r="D737" s="67"/>
    </row>
    <row r="738">
      <c r="C738" s="67"/>
      <c r="D738" s="67"/>
    </row>
    <row r="739">
      <c r="C739" s="67"/>
      <c r="D739" s="67"/>
    </row>
    <row r="740">
      <c r="C740" s="67"/>
      <c r="D740" s="67"/>
    </row>
    <row r="741">
      <c r="C741" s="67"/>
      <c r="D741" s="67"/>
    </row>
    <row r="742">
      <c r="C742" s="67"/>
      <c r="D742" s="67"/>
    </row>
    <row r="743">
      <c r="C743" s="67"/>
      <c r="D743" s="67"/>
    </row>
    <row r="744">
      <c r="C744" s="67"/>
      <c r="D744" s="67"/>
    </row>
    <row r="745">
      <c r="C745" s="67"/>
      <c r="D745" s="67"/>
    </row>
    <row r="746">
      <c r="C746" s="67"/>
      <c r="D746" s="67"/>
    </row>
    <row r="747">
      <c r="C747" s="67"/>
      <c r="D747" s="67"/>
    </row>
    <row r="748">
      <c r="C748" s="67"/>
      <c r="D748" s="67"/>
    </row>
    <row r="749">
      <c r="C749" s="67"/>
      <c r="D749" s="67"/>
    </row>
    <row r="750">
      <c r="C750" s="67"/>
      <c r="D750" s="67"/>
    </row>
    <row r="751">
      <c r="C751" s="67"/>
      <c r="D751" s="67"/>
    </row>
    <row r="752">
      <c r="C752" s="67"/>
      <c r="D752" s="67"/>
    </row>
    <row r="753">
      <c r="C753" s="67"/>
      <c r="D753" s="67"/>
    </row>
    <row r="754">
      <c r="C754" s="67"/>
      <c r="D754" s="67"/>
    </row>
    <row r="755">
      <c r="C755" s="67"/>
      <c r="D755" s="67"/>
    </row>
    <row r="756">
      <c r="C756" s="67"/>
      <c r="D756" s="67"/>
    </row>
    <row r="757">
      <c r="C757" s="67"/>
      <c r="D757" s="67"/>
    </row>
    <row r="758">
      <c r="C758" s="67"/>
      <c r="D758" s="67"/>
    </row>
    <row r="759">
      <c r="C759" s="67"/>
      <c r="D759" s="67"/>
    </row>
    <row r="760">
      <c r="C760" s="67"/>
      <c r="D760" s="67"/>
    </row>
    <row r="761">
      <c r="C761" s="67"/>
      <c r="D761" s="67"/>
    </row>
    <row r="762">
      <c r="C762" s="67"/>
      <c r="D762" s="67"/>
    </row>
    <row r="763">
      <c r="C763" s="67"/>
      <c r="D763" s="67"/>
    </row>
    <row r="764">
      <c r="C764" s="67"/>
      <c r="D764" s="67"/>
    </row>
    <row r="765">
      <c r="C765" s="67"/>
      <c r="D765" s="67"/>
    </row>
    <row r="766">
      <c r="C766" s="67"/>
      <c r="D766" s="67"/>
    </row>
    <row r="767">
      <c r="C767" s="67"/>
      <c r="D767" s="67"/>
    </row>
    <row r="768">
      <c r="C768" s="67"/>
      <c r="D768" s="67"/>
    </row>
    <row r="769">
      <c r="C769" s="67"/>
      <c r="D769" s="67"/>
    </row>
    <row r="770">
      <c r="C770" s="67"/>
      <c r="D770" s="67"/>
    </row>
    <row r="771">
      <c r="C771" s="67"/>
      <c r="D771" s="67"/>
    </row>
    <row r="772">
      <c r="C772" s="67"/>
      <c r="D772" s="67"/>
    </row>
    <row r="773">
      <c r="C773" s="67"/>
      <c r="D773" s="67"/>
    </row>
    <row r="774">
      <c r="C774" s="67"/>
      <c r="D774" s="67"/>
    </row>
    <row r="775">
      <c r="C775" s="67"/>
      <c r="D775" s="67"/>
    </row>
    <row r="776">
      <c r="C776" s="67"/>
      <c r="D776" s="67"/>
    </row>
    <row r="777">
      <c r="C777" s="67"/>
      <c r="D777" s="67"/>
    </row>
    <row r="778">
      <c r="C778" s="67"/>
      <c r="D778" s="67"/>
    </row>
    <row r="779">
      <c r="C779" s="67"/>
      <c r="D779" s="67"/>
    </row>
    <row r="780">
      <c r="C780" s="67"/>
      <c r="D780" s="67"/>
    </row>
    <row r="781">
      <c r="C781" s="67"/>
      <c r="D781" s="67"/>
    </row>
    <row r="782">
      <c r="C782" s="67"/>
      <c r="D782" s="67"/>
    </row>
    <row r="783">
      <c r="C783" s="67"/>
      <c r="D783" s="67"/>
    </row>
    <row r="784">
      <c r="C784" s="67"/>
      <c r="D784" s="67"/>
    </row>
    <row r="785">
      <c r="C785" s="67"/>
      <c r="D785" s="67"/>
    </row>
    <row r="786">
      <c r="C786" s="67"/>
      <c r="D786" s="67"/>
    </row>
    <row r="787">
      <c r="C787" s="67"/>
      <c r="D787" s="67"/>
    </row>
    <row r="788">
      <c r="C788" s="67"/>
      <c r="D788" s="67"/>
    </row>
    <row r="789">
      <c r="C789" s="67"/>
      <c r="D789" s="67"/>
    </row>
    <row r="790">
      <c r="C790" s="67"/>
      <c r="D790" s="67"/>
    </row>
    <row r="791">
      <c r="C791" s="67"/>
      <c r="D791" s="67"/>
    </row>
    <row r="792">
      <c r="C792" s="67"/>
      <c r="D792" s="67"/>
    </row>
    <row r="793">
      <c r="C793" s="67"/>
      <c r="D793" s="67"/>
    </row>
    <row r="794">
      <c r="C794" s="67"/>
      <c r="D794" s="67"/>
    </row>
    <row r="795">
      <c r="C795" s="67"/>
      <c r="D795" s="67"/>
    </row>
    <row r="796">
      <c r="C796" s="67"/>
      <c r="D796" s="67"/>
    </row>
    <row r="797">
      <c r="C797" s="67"/>
      <c r="D797" s="67"/>
    </row>
    <row r="798">
      <c r="C798" s="67"/>
      <c r="D798" s="67"/>
    </row>
    <row r="799">
      <c r="C799" s="67"/>
      <c r="D799" s="67"/>
    </row>
    <row r="800">
      <c r="C800" s="67"/>
      <c r="D800" s="67"/>
    </row>
    <row r="801">
      <c r="C801" s="67"/>
      <c r="D801" s="67"/>
    </row>
    <row r="802">
      <c r="C802" s="67"/>
      <c r="D802" s="67"/>
    </row>
    <row r="803">
      <c r="C803" s="67"/>
      <c r="D803" s="67"/>
    </row>
    <row r="804">
      <c r="C804" s="67"/>
      <c r="D804" s="67"/>
    </row>
    <row r="805">
      <c r="C805" s="67"/>
      <c r="D805" s="67"/>
    </row>
    <row r="806">
      <c r="C806" s="67"/>
      <c r="D806" s="67"/>
    </row>
    <row r="807">
      <c r="C807" s="67"/>
      <c r="D807" s="67"/>
    </row>
    <row r="808">
      <c r="C808" s="67"/>
      <c r="D808" s="67"/>
    </row>
    <row r="809">
      <c r="C809" s="67"/>
      <c r="D809" s="67"/>
    </row>
    <row r="810">
      <c r="C810" s="67"/>
      <c r="D810" s="67"/>
    </row>
    <row r="811">
      <c r="C811" s="67"/>
      <c r="D811" s="67"/>
    </row>
    <row r="812">
      <c r="C812" s="67"/>
      <c r="D812" s="67"/>
    </row>
    <row r="813">
      <c r="C813" s="67"/>
      <c r="D813" s="67"/>
    </row>
    <row r="814">
      <c r="C814" s="67"/>
      <c r="D814" s="67"/>
    </row>
    <row r="815">
      <c r="C815" s="67"/>
      <c r="D815" s="67"/>
    </row>
    <row r="816">
      <c r="C816" s="67"/>
      <c r="D816" s="67"/>
    </row>
    <row r="817">
      <c r="C817" s="67"/>
      <c r="D817" s="67"/>
    </row>
    <row r="818">
      <c r="C818" s="67"/>
      <c r="D818" s="67"/>
    </row>
    <row r="819">
      <c r="C819" s="67"/>
      <c r="D819" s="67"/>
    </row>
    <row r="820">
      <c r="C820" s="67"/>
      <c r="D820" s="67"/>
    </row>
    <row r="821">
      <c r="C821" s="67"/>
      <c r="D821" s="67"/>
    </row>
    <row r="822">
      <c r="C822" s="67"/>
      <c r="D822" s="67"/>
    </row>
    <row r="823">
      <c r="C823" s="67"/>
      <c r="D823" s="67"/>
    </row>
    <row r="824">
      <c r="C824" s="67"/>
      <c r="D824" s="67"/>
    </row>
    <row r="825">
      <c r="C825" s="67"/>
      <c r="D825" s="67"/>
    </row>
    <row r="826">
      <c r="C826" s="67"/>
      <c r="D826" s="67"/>
    </row>
    <row r="827">
      <c r="C827" s="67"/>
      <c r="D827" s="67"/>
    </row>
    <row r="828">
      <c r="C828" s="67"/>
      <c r="D828" s="67"/>
    </row>
    <row r="829">
      <c r="C829" s="67"/>
      <c r="D829" s="67"/>
    </row>
    <row r="830">
      <c r="C830" s="67"/>
      <c r="D830" s="67"/>
    </row>
    <row r="831">
      <c r="C831" s="67"/>
      <c r="D831" s="67"/>
    </row>
    <row r="832">
      <c r="C832" s="67"/>
      <c r="D832" s="67"/>
    </row>
    <row r="833">
      <c r="C833" s="67"/>
      <c r="D833" s="67"/>
    </row>
    <row r="834">
      <c r="C834" s="67"/>
      <c r="D834" s="67"/>
    </row>
    <row r="835">
      <c r="C835" s="67"/>
      <c r="D835" s="67"/>
    </row>
    <row r="836">
      <c r="C836" s="67"/>
      <c r="D836" s="67"/>
    </row>
    <row r="837">
      <c r="C837" s="67"/>
      <c r="D837" s="67"/>
    </row>
    <row r="838">
      <c r="C838" s="67"/>
      <c r="D838" s="67"/>
    </row>
    <row r="839">
      <c r="C839" s="67"/>
      <c r="D839" s="67"/>
    </row>
    <row r="840">
      <c r="C840" s="67"/>
      <c r="D840" s="67"/>
    </row>
    <row r="841">
      <c r="C841" s="67"/>
      <c r="D841" s="67"/>
    </row>
    <row r="842">
      <c r="C842" s="67"/>
      <c r="D842" s="67"/>
    </row>
    <row r="843">
      <c r="C843" s="67"/>
      <c r="D843" s="67"/>
    </row>
    <row r="844">
      <c r="C844" s="67"/>
      <c r="D844" s="67"/>
    </row>
    <row r="845">
      <c r="C845" s="67"/>
      <c r="D845" s="67"/>
    </row>
    <row r="846">
      <c r="C846" s="67"/>
      <c r="D846" s="67"/>
    </row>
    <row r="847">
      <c r="C847" s="67"/>
      <c r="D847" s="67"/>
    </row>
    <row r="848">
      <c r="C848" s="67"/>
      <c r="D848" s="67"/>
    </row>
    <row r="849">
      <c r="C849" s="67"/>
      <c r="D849" s="67"/>
    </row>
    <row r="850">
      <c r="C850" s="67"/>
      <c r="D850" s="67"/>
    </row>
    <row r="851">
      <c r="C851" s="67"/>
      <c r="D851" s="67"/>
    </row>
    <row r="852">
      <c r="C852" s="67"/>
      <c r="D852" s="67"/>
    </row>
    <row r="853">
      <c r="C853" s="67"/>
      <c r="D853" s="67"/>
    </row>
    <row r="854">
      <c r="C854" s="67"/>
      <c r="D854" s="67"/>
    </row>
    <row r="855">
      <c r="C855" s="67"/>
      <c r="D855" s="67"/>
    </row>
    <row r="856">
      <c r="C856" s="67"/>
      <c r="D856" s="67"/>
    </row>
    <row r="857">
      <c r="C857" s="67"/>
      <c r="D857" s="67"/>
    </row>
    <row r="858">
      <c r="C858" s="67"/>
      <c r="D858" s="67"/>
    </row>
    <row r="859">
      <c r="C859" s="67"/>
      <c r="D859" s="67"/>
    </row>
    <row r="860">
      <c r="C860" s="67"/>
      <c r="D860" s="67"/>
    </row>
    <row r="861">
      <c r="C861" s="67"/>
      <c r="D861" s="67"/>
    </row>
    <row r="862">
      <c r="C862" s="67"/>
      <c r="D862" s="67"/>
    </row>
    <row r="863">
      <c r="C863" s="67"/>
      <c r="D863" s="67"/>
    </row>
    <row r="864">
      <c r="C864" s="67"/>
      <c r="D864" s="67"/>
    </row>
    <row r="865">
      <c r="C865" s="67"/>
      <c r="D865" s="67"/>
    </row>
    <row r="866">
      <c r="C866" s="67"/>
      <c r="D866" s="67"/>
    </row>
    <row r="867">
      <c r="C867" s="67"/>
      <c r="D867" s="67"/>
    </row>
    <row r="868">
      <c r="C868" s="67"/>
      <c r="D868" s="67"/>
    </row>
    <row r="869">
      <c r="C869" s="67"/>
      <c r="D869" s="67"/>
    </row>
    <row r="870">
      <c r="C870" s="67"/>
      <c r="D870" s="67"/>
    </row>
    <row r="871">
      <c r="C871" s="67"/>
      <c r="D871" s="67"/>
    </row>
    <row r="872">
      <c r="C872" s="67"/>
      <c r="D872" s="67"/>
    </row>
    <row r="873">
      <c r="C873" s="67"/>
      <c r="D873" s="67"/>
    </row>
    <row r="874">
      <c r="C874" s="67"/>
      <c r="D874" s="67"/>
    </row>
    <row r="875">
      <c r="C875" s="67"/>
      <c r="D875" s="67"/>
    </row>
    <row r="876">
      <c r="C876" s="67"/>
      <c r="D876" s="67"/>
    </row>
    <row r="877">
      <c r="C877" s="67"/>
      <c r="D877" s="67"/>
    </row>
    <row r="878">
      <c r="C878" s="67"/>
      <c r="D878" s="67"/>
    </row>
    <row r="879">
      <c r="C879" s="67"/>
      <c r="D879" s="67"/>
    </row>
    <row r="880">
      <c r="C880" s="67"/>
      <c r="D880" s="67"/>
    </row>
    <row r="881">
      <c r="C881" s="67"/>
      <c r="D881" s="67"/>
    </row>
    <row r="882">
      <c r="C882" s="67"/>
      <c r="D882" s="67"/>
    </row>
    <row r="883">
      <c r="C883" s="67"/>
      <c r="D883" s="67"/>
    </row>
    <row r="884">
      <c r="C884" s="67"/>
      <c r="D884" s="67"/>
    </row>
    <row r="885">
      <c r="C885" s="67"/>
      <c r="D885" s="67"/>
    </row>
    <row r="886">
      <c r="C886" s="67"/>
      <c r="D886" s="67"/>
    </row>
    <row r="887">
      <c r="C887" s="67"/>
      <c r="D887" s="67"/>
    </row>
    <row r="888">
      <c r="C888" s="67"/>
      <c r="D888" s="67"/>
    </row>
    <row r="889">
      <c r="C889" s="67"/>
      <c r="D889" s="67"/>
    </row>
    <row r="890">
      <c r="C890" s="67"/>
      <c r="D890" s="67"/>
    </row>
    <row r="891">
      <c r="C891" s="67"/>
      <c r="D891" s="67"/>
    </row>
    <row r="892">
      <c r="C892" s="67"/>
      <c r="D892" s="67"/>
    </row>
    <row r="893">
      <c r="C893" s="67"/>
      <c r="D893" s="67"/>
    </row>
    <row r="894">
      <c r="C894" s="67"/>
      <c r="D894" s="67"/>
    </row>
    <row r="895">
      <c r="C895" s="67"/>
      <c r="D895" s="67"/>
    </row>
    <row r="896">
      <c r="C896" s="67"/>
      <c r="D896" s="67"/>
    </row>
    <row r="897">
      <c r="C897" s="67"/>
      <c r="D897" s="67"/>
    </row>
    <row r="898">
      <c r="C898" s="67"/>
      <c r="D898" s="67"/>
    </row>
    <row r="899">
      <c r="C899" s="67"/>
      <c r="D899" s="67"/>
    </row>
    <row r="900">
      <c r="C900" s="67"/>
      <c r="D900" s="67"/>
    </row>
    <row r="901">
      <c r="C901" s="67"/>
      <c r="D901" s="67"/>
    </row>
    <row r="902">
      <c r="C902" s="67"/>
      <c r="D902" s="67"/>
    </row>
    <row r="903">
      <c r="C903" s="67"/>
      <c r="D903" s="67"/>
    </row>
    <row r="904">
      <c r="C904" s="67"/>
      <c r="D904" s="67"/>
    </row>
    <row r="905">
      <c r="C905" s="67"/>
      <c r="D905" s="67"/>
    </row>
    <row r="906">
      <c r="C906" s="67"/>
      <c r="D906" s="67"/>
    </row>
    <row r="907">
      <c r="C907" s="67"/>
      <c r="D907" s="67"/>
    </row>
    <row r="908">
      <c r="C908" s="67"/>
      <c r="D908" s="67"/>
    </row>
    <row r="909">
      <c r="C909" s="67"/>
      <c r="D909" s="67"/>
    </row>
    <row r="910">
      <c r="C910" s="67"/>
      <c r="D910" s="67"/>
    </row>
    <row r="911">
      <c r="C911" s="67"/>
      <c r="D911" s="67"/>
    </row>
    <row r="912">
      <c r="C912" s="67"/>
      <c r="D912" s="67"/>
    </row>
    <row r="913">
      <c r="C913" s="67"/>
      <c r="D913" s="67"/>
    </row>
    <row r="914">
      <c r="C914" s="67"/>
      <c r="D914" s="67"/>
    </row>
    <row r="915">
      <c r="C915" s="67"/>
      <c r="D915" s="67"/>
    </row>
    <row r="916">
      <c r="C916" s="67"/>
      <c r="D916" s="67"/>
    </row>
    <row r="917">
      <c r="C917" s="67"/>
      <c r="D917" s="67"/>
    </row>
    <row r="918">
      <c r="C918" s="67"/>
      <c r="D918" s="67"/>
    </row>
    <row r="919">
      <c r="C919" s="67"/>
      <c r="D919" s="67"/>
    </row>
    <row r="920">
      <c r="C920" s="67"/>
      <c r="D920" s="67"/>
    </row>
    <row r="921">
      <c r="C921" s="67"/>
      <c r="D921" s="67"/>
    </row>
    <row r="922">
      <c r="C922" s="67"/>
      <c r="D922" s="67"/>
    </row>
    <row r="923">
      <c r="C923" s="67"/>
      <c r="D923" s="67"/>
    </row>
    <row r="924">
      <c r="C924" s="67"/>
      <c r="D924" s="67"/>
    </row>
    <row r="925">
      <c r="C925" s="67"/>
      <c r="D925" s="67"/>
    </row>
    <row r="926">
      <c r="C926" s="67"/>
      <c r="D926" s="67"/>
    </row>
    <row r="927">
      <c r="C927" s="67"/>
      <c r="D927" s="67"/>
    </row>
    <row r="928">
      <c r="C928" s="67"/>
      <c r="D928" s="67"/>
    </row>
    <row r="929">
      <c r="C929" s="67"/>
      <c r="D929" s="67"/>
    </row>
    <row r="930">
      <c r="C930" s="67"/>
      <c r="D930" s="67"/>
    </row>
    <row r="931">
      <c r="C931" s="67"/>
      <c r="D931" s="67"/>
    </row>
    <row r="932">
      <c r="C932" s="67"/>
      <c r="D932" s="67"/>
    </row>
    <row r="933">
      <c r="C933" s="67"/>
      <c r="D933" s="67"/>
    </row>
    <row r="934">
      <c r="C934" s="67"/>
      <c r="D934" s="67"/>
    </row>
    <row r="935">
      <c r="C935" s="67"/>
      <c r="D935" s="67"/>
    </row>
    <row r="936">
      <c r="C936" s="67"/>
      <c r="D936" s="67"/>
    </row>
    <row r="937">
      <c r="C937" s="67"/>
      <c r="D937" s="67"/>
    </row>
    <row r="938">
      <c r="C938" s="67"/>
      <c r="D938" s="67"/>
    </row>
    <row r="939">
      <c r="C939" s="67"/>
      <c r="D939" s="67"/>
    </row>
    <row r="940">
      <c r="C940" s="67"/>
      <c r="D940" s="67"/>
    </row>
    <row r="941">
      <c r="C941" s="67"/>
      <c r="D941" s="67"/>
    </row>
    <row r="942">
      <c r="C942" s="67"/>
      <c r="D942" s="67"/>
    </row>
    <row r="943">
      <c r="C943" s="67"/>
      <c r="D943" s="67"/>
    </row>
    <row r="944">
      <c r="C944" s="67"/>
      <c r="D944" s="67"/>
    </row>
    <row r="945">
      <c r="C945" s="67"/>
      <c r="D945" s="67"/>
    </row>
    <row r="946">
      <c r="C946" s="67"/>
      <c r="D946" s="67"/>
    </row>
    <row r="947">
      <c r="C947" s="67"/>
      <c r="D947" s="67"/>
    </row>
    <row r="948">
      <c r="C948" s="67"/>
      <c r="D948" s="67"/>
    </row>
    <row r="949">
      <c r="C949" s="67"/>
      <c r="D949" s="67"/>
    </row>
    <row r="950">
      <c r="C950" s="67"/>
      <c r="D950" s="67"/>
    </row>
    <row r="951">
      <c r="C951" s="67"/>
      <c r="D951" s="67"/>
    </row>
    <row r="952">
      <c r="C952" s="67"/>
      <c r="D952" s="67"/>
    </row>
    <row r="953">
      <c r="C953" s="67"/>
      <c r="D953" s="67"/>
    </row>
    <row r="954">
      <c r="C954" s="67"/>
      <c r="D954" s="67"/>
    </row>
    <row r="955">
      <c r="C955" s="67"/>
      <c r="D955" s="67"/>
    </row>
    <row r="956">
      <c r="C956" s="67"/>
      <c r="D956" s="67"/>
    </row>
    <row r="957">
      <c r="C957" s="67"/>
      <c r="D957" s="67"/>
    </row>
    <row r="958">
      <c r="C958" s="67"/>
      <c r="D958" s="67"/>
    </row>
    <row r="959">
      <c r="C959" s="67"/>
      <c r="D959" s="67"/>
    </row>
    <row r="960">
      <c r="C960" s="67"/>
      <c r="D960" s="67"/>
    </row>
    <row r="961">
      <c r="C961" s="67"/>
      <c r="D961" s="67"/>
    </row>
    <row r="962">
      <c r="C962" s="67"/>
      <c r="D962" s="67"/>
    </row>
    <row r="963">
      <c r="C963" s="67"/>
      <c r="D963" s="67"/>
    </row>
    <row r="964">
      <c r="C964" s="67"/>
      <c r="D964" s="67"/>
    </row>
    <row r="965">
      <c r="C965" s="67"/>
      <c r="D965" s="67"/>
    </row>
    <row r="966">
      <c r="C966" s="67"/>
      <c r="D966" s="67"/>
    </row>
    <row r="967">
      <c r="C967" s="67"/>
      <c r="D967" s="67"/>
    </row>
    <row r="968">
      <c r="C968" s="67"/>
      <c r="D968" s="67"/>
    </row>
    <row r="969">
      <c r="C969" s="67"/>
      <c r="D969" s="67"/>
    </row>
    <row r="970">
      <c r="C970" s="67"/>
      <c r="D970" s="67"/>
    </row>
    <row r="971">
      <c r="C971" s="67"/>
      <c r="D971" s="67"/>
    </row>
    <row r="972">
      <c r="C972" s="67"/>
      <c r="D972" s="67"/>
    </row>
    <row r="973">
      <c r="C973" s="67"/>
      <c r="D973" s="67"/>
    </row>
    <row r="974">
      <c r="C974" s="67"/>
      <c r="D974" s="67"/>
    </row>
    <row r="975">
      <c r="C975" s="67"/>
      <c r="D975" s="67"/>
    </row>
    <row r="976">
      <c r="C976" s="67"/>
      <c r="D976" s="67"/>
    </row>
    <row r="977">
      <c r="C977" s="67"/>
      <c r="D977" s="67"/>
    </row>
    <row r="978">
      <c r="C978" s="67"/>
      <c r="D978" s="67"/>
    </row>
    <row r="979">
      <c r="C979" s="67"/>
      <c r="D979" s="67"/>
    </row>
    <row r="980">
      <c r="C980" s="67"/>
      <c r="D980" s="67"/>
    </row>
    <row r="981">
      <c r="C981" s="67"/>
      <c r="D981" s="67"/>
    </row>
    <row r="982">
      <c r="C982" s="67"/>
      <c r="D982" s="67"/>
    </row>
    <row r="983">
      <c r="C983" s="67"/>
      <c r="D983" s="67"/>
    </row>
    <row r="984">
      <c r="C984" s="67"/>
      <c r="D984" s="67"/>
    </row>
    <row r="985">
      <c r="C985" s="67"/>
      <c r="D985" s="67"/>
    </row>
    <row r="986">
      <c r="C986" s="67"/>
      <c r="D986" s="67"/>
    </row>
    <row r="987">
      <c r="C987" s="67"/>
      <c r="D987" s="67"/>
    </row>
    <row r="988">
      <c r="C988" s="67"/>
      <c r="D988" s="67"/>
    </row>
    <row r="989">
      <c r="C989" s="67"/>
      <c r="D989" s="67"/>
    </row>
    <row r="990">
      <c r="C990" s="67"/>
      <c r="D990" s="67"/>
    </row>
    <row r="991">
      <c r="C991" s="67"/>
      <c r="D991" s="67"/>
    </row>
    <row r="992">
      <c r="C992" s="67"/>
      <c r="D992" s="67"/>
    </row>
    <row r="993">
      <c r="C993" s="67"/>
      <c r="D993" s="67"/>
    </row>
    <row r="994">
      <c r="C994" s="67"/>
      <c r="D994" s="67"/>
    </row>
    <row r="995">
      <c r="C995" s="67"/>
      <c r="D995" s="67"/>
    </row>
    <row r="996">
      <c r="C996" s="67"/>
      <c r="D996" s="6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38"/>
    <col customWidth="1" min="8" max="8" width="19.25"/>
  </cols>
  <sheetData>
    <row r="2">
      <c r="A2" s="63" t="s">
        <v>558</v>
      </c>
      <c r="B2" s="63" t="s">
        <v>559</v>
      </c>
      <c r="C2" s="63" t="s">
        <v>560</v>
      </c>
      <c r="D2" s="63" t="s">
        <v>561</v>
      </c>
      <c r="E2" s="63" t="s">
        <v>562</v>
      </c>
    </row>
    <row r="3">
      <c r="A3" s="12" t="s">
        <v>504</v>
      </c>
      <c r="B3" s="12" t="s">
        <v>563</v>
      </c>
      <c r="C3" s="40" t="s">
        <v>564</v>
      </c>
      <c r="D3" s="59">
        <v>-117.124254</v>
      </c>
      <c r="E3" s="59">
        <v>32.534343</v>
      </c>
      <c r="H3" s="12" t="s">
        <v>565</v>
      </c>
    </row>
    <row r="4">
      <c r="A4" s="71" t="s">
        <v>504</v>
      </c>
      <c r="B4" s="12" t="s">
        <v>560</v>
      </c>
      <c r="C4" s="12" t="s">
        <v>566</v>
      </c>
      <c r="D4" s="12">
        <v>-123.8242307</v>
      </c>
      <c r="E4" s="12">
        <v>38.911167</v>
      </c>
      <c r="H4" s="63" t="s">
        <v>567</v>
      </c>
    </row>
    <row r="5">
      <c r="A5" s="12" t="s">
        <v>568</v>
      </c>
      <c r="B5" s="71" t="s">
        <v>563</v>
      </c>
      <c r="C5" s="71" t="s">
        <v>569</v>
      </c>
      <c r="D5" s="59">
        <v>-124.2098554</v>
      </c>
      <c r="E5" s="38">
        <v>42.0</v>
      </c>
      <c r="H5" s="35" t="s">
        <v>570</v>
      </c>
    </row>
    <row r="6">
      <c r="A6" s="12" t="s">
        <v>38</v>
      </c>
      <c r="B6" s="12" t="s">
        <v>560</v>
      </c>
      <c r="C6" s="12" t="s">
        <v>571</v>
      </c>
      <c r="D6" s="12">
        <v>-123.98</v>
      </c>
      <c r="E6" s="12">
        <v>45.46</v>
      </c>
    </row>
    <row r="7">
      <c r="A7" s="12" t="s">
        <v>38</v>
      </c>
      <c r="B7" s="12" t="s">
        <v>560</v>
      </c>
      <c r="C7" s="12" t="s">
        <v>572</v>
      </c>
      <c r="E7" s="12">
        <v>43.17</v>
      </c>
      <c r="H7" s="63" t="s">
        <v>573</v>
      </c>
      <c r="I7" s="63" t="s">
        <v>560</v>
      </c>
      <c r="J7" s="63" t="s">
        <v>562</v>
      </c>
      <c r="K7" s="63" t="s">
        <v>561</v>
      </c>
    </row>
    <row r="8">
      <c r="A8" s="12" t="s">
        <v>38</v>
      </c>
      <c r="B8" s="12" t="s">
        <v>560</v>
      </c>
      <c r="C8" s="12" t="s">
        <v>574</v>
      </c>
      <c r="D8" s="12">
        <v>-124.075719</v>
      </c>
      <c r="E8" s="12">
        <v>44.772351</v>
      </c>
      <c r="H8" s="12" t="s">
        <v>575</v>
      </c>
      <c r="I8" s="12" t="s">
        <v>576</v>
      </c>
      <c r="J8" s="12">
        <v>47.28</v>
      </c>
      <c r="K8" s="12">
        <v>-124.207</v>
      </c>
    </row>
    <row r="9">
      <c r="H9" s="12" t="s">
        <v>577</v>
      </c>
      <c r="J9" s="12">
        <v>47.28</v>
      </c>
      <c r="K9" s="12">
        <v>-124.34</v>
      </c>
    </row>
    <row r="10">
      <c r="A10" s="12" t="s">
        <v>38</v>
      </c>
      <c r="B10" s="12" t="s">
        <v>560</v>
      </c>
      <c r="C10" s="12" t="s">
        <v>578</v>
      </c>
      <c r="E10" s="12">
        <v>42.6</v>
      </c>
      <c r="H10" s="12" t="s">
        <v>579</v>
      </c>
      <c r="J10" s="12">
        <v>47.08</v>
      </c>
      <c r="K10" s="12">
        <v>-124.255</v>
      </c>
    </row>
    <row r="11">
      <c r="A11" s="12" t="s">
        <v>580</v>
      </c>
      <c r="B11" s="12" t="s">
        <v>563</v>
      </c>
      <c r="C11" s="12" t="s">
        <v>581</v>
      </c>
      <c r="D11" s="12">
        <v>-124.049794</v>
      </c>
      <c r="E11" s="12">
        <v>46.25</v>
      </c>
      <c r="H11" s="12" t="s">
        <v>582</v>
      </c>
      <c r="I11" s="12" t="s">
        <v>583</v>
      </c>
      <c r="J11" s="12">
        <v>47.08</v>
      </c>
      <c r="K11" s="12">
        <v>-124.112</v>
      </c>
    </row>
    <row r="12">
      <c r="A12" s="12" t="s">
        <v>165</v>
      </c>
      <c r="B12" s="12" t="s">
        <v>560</v>
      </c>
      <c r="C12" s="12" t="s">
        <v>584</v>
      </c>
      <c r="E12" s="5">
        <v>46.28</v>
      </c>
    </row>
    <row r="13">
      <c r="A13" s="12" t="s">
        <v>165</v>
      </c>
      <c r="B13" s="12" t="s">
        <v>560</v>
      </c>
      <c r="C13" s="12" t="s">
        <v>585</v>
      </c>
      <c r="E13" s="12">
        <v>46.5318</v>
      </c>
    </row>
    <row r="14">
      <c r="A14" s="12" t="s">
        <v>165</v>
      </c>
      <c r="B14" s="12" t="s">
        <v>560</v>
      </c>
      <c r="C14" s="12" t="s">
        <v>583</v>
      </c>
      <c r="E14" s="12">
        <v>47.08</v>
      </c>
      <c r="H14" s="63" t="s">
        <v>586</v>
      </c>
    </row>
    <row r="15">
      <c r="A15" s="12" t="s">
        <v>165</v>
      </c>
      <c r="B15" s="12" t="s">
        <v>560</v>
      </c>
      <c r="C15" s="12" t="s">
        <v>587</v>
      </c>
      <c r="E15" s="12">
        <v>47.1225</v>
      </c>
      <c r="H15" s="35" t="s">
        <v>588</v>
      </c>
    </row>
    <row r="16">
      <c r="A16" s="12" t="s">
        <v>165</v>
      </c>
      <c r="B16" s="12" t="s">
        <v>560</v>
      </c>
      <c r="C16" s="12" t="s">
        <v>589</v>
      </c>
      <c r="E16" s="12">
        <v>47.18</v>
      </c>
    </row>
    <row r="17">
      <c r="A17" s="12" t="s">
        <v>165</v>
      </c>
      <c r="B17" s="12" t="s">
        <v>560</v>
      </c>
      <c r="C17" s="12" t="s">
        <v>590</v>
      </c>
      <c r="E17" s="12">
        <v>47.24</v>
      </c>
      <c r="H17" s="63" t="s">
        <v>573</v>
      </c>
      <c r="I17" s="63" t="s">
        <v>560</v>
      </c>
      <c r="J17" s="63" t="s">
        <v>562</v>
      </c>
      <c r="K17" s="63" t="s">
        <v>561</v>
      </c>
    </row>
    <row r="18">
      <c r="A18" s="12" t="s">
        <v>165</v>
      </c>
      <c r="B18" s="12" t="s">
        <v>560</v>
      </c>
      <c r="C18" s="12" t="s">
        <v>576</v>
      </c>
      <c r="E18" s="12">
        <v>47.28</v>
      </c>
      <c r="H18" s="12" t="s">
        <v>575</v>
      </c>
      <c r="I18" s="12" t="s">
        <v>590</v>
      </c>
      <c r="J18" s="12">
        <v>47.245</v>
      </c>
      <c r="K18" s="12">
        <v>-124.2</v>
      </c>
    </row>
    <row r="19">
      <c r="A19" s="12" t="s">
        <v>165</v>
      </c>
      <c r="B19" s="12" t="s">
        <v>560</v>
      </c>
      <c r="C19" s="12" t="s">
        <v>591</v>
      </c>
      <c r="E19" s="12">
        <v>47.317</v>
      </c>
      <c r="H19" s="12" t="s">
        <v>577</v>
      </c>
      <c r="J19" s="12">
        <v>47.245</v>
      </c>
      <c r="K19" s="12">
        <v>-124.324</v>
      </c>
    </row>
    <row r="20">
      <c r="A20" s="12" t="s">
        <v>165</v>
      </c>
      <c r="B20" s="12" t="s">
        <v>560</v>
      </c>
      <c r="C20" s="12" t="s">
        <v>592</v>
      </c>
      <c r="E20" s="12">
        <v>47.405</v>
      </c>
      <c r="H20" s="12" t="s">
        <v>579</v>
      </c>
      <c r="J20" s="12">
        <v>47.08</v>
      </c>
      <c r="K20" s="12">
        <v>-124.255</v>
      </c>
    </row>
    <row r="21">
      <c r="A21" s="12" t="s">
        <v>165</v>
      </c>
      <c r="B21" s="12" t="s">
        <v>560</v>
      </c>
      <c r="C21" s="12" t="s">
        <v>593</v>
      </c>
      <c r="E21" s="12">
        <v>47.58</v>
      </c>
      <c r="H21" s="12" t="s">
        <v>582</v>
      </c>
      <c r="I21" s="12" t="s">
        <v>583</v>
      </c>
      <c r="J21" s="12">
        <v>47.08</v>
      </c>
      <c r="K21" s="12">
        <v>-124.112</v>
      </c>
    </row>
    <row r="22">
      <c r="A22" s="12" t="s">
        <v>165</v>
      </c>
      <c r="B22" s="12" t="s">
        <v>560</v>
      </c>
      <c r="C22" s="12" t="s">
        <v>594</v>
      </c>
      <c r="E22" s="12">
        <v>48.07</v>
      </c>
    </row>
    <row r="23">
      <c r="A23" s="12" t="s">
        <v>595</v>
      </c>
      <c r="B23" s="12" t="s">
        <v>563</v>
      </c>
      <c r="C23" s="12" t="s">
        <v>596</v>
      </c>
      <c r="D23" s="12">
        <v>-124.77</v>
      </c>
      <c r="E23" s="12">
        <v>48.43333</v>
      </c>
    </row>
    <row r="24">
      <c r="H24" s="63" t="s">
        <v>597</v>
      </c>
    </row>
    <row r="25">
      <c r="H25" s="35" t="s">
        <v>598</v>
      </c>
    </row>
    <row r="27">
      <c r="A27" s="12" t="s">
        <v>558</v>
      </c>
      <c r="B27" s="12" t="s">
        <v>599</v>
      </c>
      <c r="C27" s="12" t="s">
        <v>600</v>
      </c>
      <c r="H27" s="63" t="s">
        <v>573</v>
      </c>
      <c r="I27" s="63" t="s">
        <v>560</v>
      </c>
      <c r="J27" s="63" t="s">
        <v>562</v>
      </c>
      <c r="K27" s="63" t="s">
        <v>561</v>
      </c>
    </row>
    <row r="28">
      <c r="A28" s="12" t="s">
        <v>165</v>
      </c>
      <c r="B28" s="12">
        <v>10.0</v>
      </c>
      <c r="C28" s="12" t="s">
        <v>601</v>
      </c>
      <c r="H28" s="12" t="s">
        <v>575</v>
      </c>
      <c r="I28" s="12" t="s">
        <v>593</v>
      </c>
      <c r="J28" s="12">
        <v>47.58</v>
      </c>
      <c r="K28" s="12">
        <v>-124.4</v>
      </c>
    </row>
    <row r="29">
      <c r="A29" s="12" t="s">
        <v>165</v>
      </c>
      <c r="B29" s="12">
        <v>20.0</v>
      </c>
      <c r="C29" s="12" t="s">
        <v>602</v>
      </c>
      <c r="H29" s="12" t="s">
        <v>577</v>
      </c>
      <c r="J29" s="12">
        <v>47.85</v>
      </c>
      <c r="K29" s="12">
        <v>-124.49</v>
      </c>
    </row>
    <row r="30">
      <c r="A30" s="12" t="s">
        <v>165</v>
      </c>
      <c r="B30" s="12">
        <v>25.0</v>
      </c>
      <c r="C30" s="12" t="s">
        <v>603</v>
      </c>
      <c r="H30" s="12" t="s">
        <v>579</v>
      </c>
      <c r="J30" s="12">
        <v>47.405</v>
      </c>
      <c r="K30" s="12">
        <v>-124.4</v>
      </c>
    </row>
    <row r="31">
      <c r="A31" s="12" t="s">
        <v>165</v>
      </c>
      <c r="B31" s="12">
        <v>30.0</v>
      </c>
      <c r="C31" s="12" t="s">
        <v>604</v>
      </c>
      <c r="H31" s="12" t="s">
        <v>582</v>
      </c>
      <c r="I31" s="12" t="s">
        <v>583</v>
      </c>
      <c r="J31" s="12">
        <v>47.405</v>
      </c>
      <c r="K31" s="12">
        <v>-124.2443</v>
      </c>
    </row>
    <row r="32">
      <c r="A32" s="12" t="s">
        <v>165</v>
      </c>
      <c r="B32" s="12">
        <v>35.0</v>
      </c>
      <c r="C32" s="12" t="s">
        <v>605</v>
      </c>
    </row>
    <row r="33">
      <c r="A33" s="12" t="s">
        <v>165</v>
      </c>
      <c r="B33" s="12">
        <v>41.0</v>
      </c>
      <c r="C33" s="12" t="s">
        <v>606</v>
      </c>
    </row>
    <row r="34">
      <c r="A34" s="12" t="s">
        <v>165</v>
      </c>
      <c r="B34" s="12">
        <v>42.0</v>
      </c>
      <c r="C34" s="12" t="s">
        <v>607</v>
      </c>
    </row>
    <row r="35">
      <c r="A35" s="12" t="s">
        <v>165</v>
      </c>
      <c r="B35" s="12">
        <v>43.0</v>
      </c>
      <c r="C35" s="12" t="s">
        <v>608</v>
      </c>
    </row>
    <row r="36">
      <c r="A36" s="12" t="s">
        <v>165</v>
      </c>
      <c r="B36" s="12">
        <v>45.0</v>
      </c>
      <c r="C36" s="12" t="s">
        <v>609</v>
      </c>
    </row>
    <row r="37">
      <c r="A37" s="12" t="s">
        <v>38</v>
      </c>
      <c r="B37" s="12" t="s">
        <v>610</v>
      </c>
      <c r="C37" s="12" t="s">
        <v>611</v>
      </c>
    </row>
    <row r="38">
      <c r="A38" s="12" t="s">
        <v>38</v>
      </c>
      <c r="B38" s="12" t="s">
        <v>612</v>
      </c>
      <c r="C38" s="12" t="s">
        <v>613</v>
      </c>
    </row>
    <row r="39">
      <c r="A39" s="12" t="s">
        <v>38</v>
      </c>
      <c r="B39" s="12" t="s">
        <v>614</v>
      </c>
      <c r="C39" s="12" t="s">
        <v>615</v>
      </c>
    </row>
    <row r="40">
      <c r="A40" s="12" t="s">
        <v>38</v>
      </c>
      <c r="B40" s="12" t="s">
        <v>616</v>
      </c>
      <c r="C40" s="12" t="s">
        <v>617</v>
      </c>
    </row>
    <row r="41">
      <c r="A41" s="12" t="s">
        <v>38</v>
      </c>
      <c r="B41" s="12" t="s">
        <v>618</v>
      </c>
      <c r="C41" s="12" t="s">
        <v>619</v>
      </c>
    </row>
    <row r="42">
      <c r="A42" s="12" t="s">
        <v>38</v>
      </c>
      <c r="B42" s="12" t="s">
        <v>620</v>
      </c>
      <c r="C42" s="12" t="s">
        <v>621</v>
      </c>
    </row>
    <row r="43">
      <c r="A43" s="12" t="s">
        <v>38</v>
      </c>
      <c r="B43" s="12" t="s">
        <v>622</v>
      </c>
      <c r="C43" s="12" t="s">
        <v>623</v>
      </c>
    </row>
    <row r="44">
      <c r="A44" s="12" t="s">
        <v>38</v>
      </c>
      <c r="B44" s="12" t="s">
        <v>624</v>
      </c>
      <c r="C44" s="12" t="s">
        <v>625</v>
      </c>
    </row>
    <row r="45">
      <c r="A45" s="12" t="s">
        <v>38</v>
      </c>
      <c r="B45" s="12" t="s">
        <v>626</v>
      </c>
      <c r="C45" s="12" t="s">
        <v>627</v>
      </c>
    </row>
    <row r="46">
      <c r="A46" s="12" t="s">
        <v>38</v>
      </c>
      <c r="B46" s="12" t="s">
        <v>628</v>
      </c>
      <c r="C46" s="12" t="s">
        <v>629</v>
      </c>
    </row>
    <row r="47">
      <c r="A47" s="12" t="s">
        <v>38</v>
      </c>
      <c r="B47" s="12" t="s">
        <v>630</v>
      </c>
      <c r="C47" s="12" t="s">
        <v>631</v>
      </c>
    </row>
    <row r="48">
      <c r="A48" s="12" t="s">
        <v>38</v>
      </c>
      <c r="B48" s="12" t="s">
        <v>632</v>
      </c>
      <c r="C48" s="12" t="s">
        <v>633</v>
      </c>
    </row>
    <row r="49">
      <c r="A49" s="12" t="s">
        <v>504</v>
      </c>
      <c r="B49" s="12">
        <v>60.0</v>
      </c>
      <c r="C49" s="12" t="s">
        <v>634</v>
      </c>
    </row>
  </sheetData>
  <hyperlinks>
    <hyperlink r:id="rId1" ref="H5"/>
    <hyperlink r:id="rId2" ref="H15"/>
    <hyperlink r:id="rId3" ref="H25"/>
  </hyperlinks>
  <drawing r:id="rId4"/>
</worksheet>
</file>